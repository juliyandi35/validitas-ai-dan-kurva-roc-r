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MFK UGM\TESIS\TESIS\BackUp Data\"/>
    </mc:Choice>
  </mc:AlternateContent>
  <xr:revisionPtr revIDLastSave="0" documentId="13_ncr:1_{2C0B87CD-7C19-499D-9F60-FCE12979767B}" xr6:coauthVersionLast="47" xr6:coauthVersionMax="47" xr10:uidLastSave="{00000000-0000-0000-0000-000000000000}"/>
  <bookViews>
    <workbookView xWindow="11424" yWindow="0" windowWidth="11712" windowHeight="12336" firstSheet="10" activeTab="10" xr2:uid="{00000000-000D-0000-FFFF-FFFF00000000}"/>
  </bookViews>
  <sheets>
    <sheet name="(Digoksin)Coding Interaksi Obat" sheetId="3" r:id="rId1"/>
    <sheet name="Digoksin(ChatGPT-4o Mini)" sheetId="9" r:id="rId2"/>
    <sheet name="Digoksin(Copilot)" sheetId="10" r:id="rId3"/>
    <sheet name="Digoksin(Gemini Batal)" sheetId="11" state="hidden" r:id="rId4"/>
    <sheet name="Digoksin(Gemini)" sheetId="16" r:id="rId5"/>
    <sheet name="(Warfarin)Coding Interaksi Obat" sheetId="6" r:id="rId6"/>
    <sheet name="Warfarin(ChatGPT-4o Mini)" sheetId="8" r:id="rId7"/>
    <sheet name="Warfarin(Copilot)" sheetId="12" r:id="rId8"/>
    <sheet name="Warfarin(Gemini Batal)" sheetId="13" state="hidden" r:id="rId9"/>
    <sheet name="Warfarin(Gemini)" sheetId="15" r:id="rId10"/>
    <sheet name="Hasil Analisis Data 1" sheetId="19" r:id="rId11"/>
    <sheet name="Hasil Analisis Data 2" sheetId="5" r:id="rId12"/>
    <sheet name="Hasil Analisis Data 3" sheetId="7" r:id="rId13"/>
    <sheet name="Hasil Analisis Digoksin" sheetId="17" r:id="rId14"/>
    <sheet name="Hasil Analisis Warfarin" sheetId="18" r:id="rId15"/>
  </sheets>
  <definedNames>
    <definedName name="_xlnm._FilterDatabase" localSheetId="0" hidden="1">'(Digoksin)Coding Interaksi Obat'!$B$1:$E$256</definedName>
    <definedName name="_xlnm._FilterDatabase" localSheetId="5" hidden="1">'(Warfarin)Coding Interaksi Obat'!$B$1:$E$256</definedName>
    <definedName name="_xlnm._FilterDatabase" localSheetId="11" hidden="1">'Hasil Analisis Data 2'!$A$1:$R$256</definedName>
    <definedName name="_xlnm._FilterDatabase" localSheetId="12" hidden="1">'Hasil Analisis Data 3'!$A$1:$R$256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3" i="7" l="1"/>
  <c r="Q13" i="7"/>
  <c r="P13" i="7"/>
  <c r="O13" i="7"/>
  <c r="N13" i="7"/>
  <c r="R12" i="7"/>
  <c r="Q12" i="7"/>
  <c r="P12" i="7"/>
  <c r="O12" i="7"/>
  <c r="N12" i="7"/>
  <c r="R11" i="7"/>
  <c r="Q11" i="7"/>
  <c r="P11" i="7"/>
  <c r="O11" i="7"/>
  <c r="N11" i="7"/>
  <c r="R6" i="7"/>
  <c r="Q6" i="7"/>
  <c r="P6" i="7"/>
  <c r="O6" i="7"/>
  <c r="N6" i="7"/>
  <c r="R5" i="7"/>
  <c r="Q5" i="7"/>
  <c r="P5" i="7"/>
  <c r="O5" i="7"/>
  <c r="N5" i="7"/>
  <c r="R4" i="7"/>
  <c r="Q4" i="7"/>
  <c r="P4" i="7"/>
  <c r="O4" i="7"/>
  <c r="N4" i="7"/>
  <c r="R6" i="5"/>
  <c r="Q6" i="5"/>
  <c r="P6" i="5"/>
  <c r="O6" i="5"/>
  <c r="N6" i="5"/>
  <c r="R5" i="5"/>
  <c r="Q5" i="5"/>
  <c r="P5" i="5"/>
  <c r="O5" i="5"/>
  <c r="N5" i="5"/>
  <c r="R4" i="5"/>
  <c r="Q4" i="5"/>
  <c r="P4" i="5"/>
  <c r="O4" i="5"/>
  <c r="N4" i="5"/>
  <c r="AI126" i="18"/>
  <c r="AH126" i="18"/>
  <c r="AB126" i="18"/>
  <c r="AA126" i="18"/>
  <c r="AJ125" i="18"/>
  <c r="AC125" i="18"/>
  <c r="AJ124" i="18"/>
  <c r="AC124" i="18"/>
  <c r="AI119" i="18"/>
  <c r="AH119" i="18"/>
  <c r="AB119" i="18"/>
  <c r="AA119" i="18"/>
  <c r="AJ118" i="18"/>
  <c r="AC118" i="18"/>
  <c r="AJ117" i="18"/>
  <c r="AC117" i="18"/>
  <c r="AC119" i="18" s="1"/>
  <c r="AI112" i="18"/>
  <c r="AH112" i="18"/>
  <c r="AJ112" i="18" s="1"/>
  <c r="AB112" i="18"/>
  <c r="AA112" i="18"/>
  <c r="AJ111" i="18"/>
  <c r="AC111" i="18"/>
  <c r="AJ110" i="18"/>
  <c r="AC110" i="18"/>
  <c r="AI105" i="18"/>
  <c r="AH105" i="18"/>
  <c r="AB105" i="18"/>
  <c r="AA105" i="18"/>
  <c r="AJ104" i="18"/>
  <c r="AC104" i="18"/>
  <c r="AJ103" i="18"/>
  <c r="AC103" i="18"/>
  <c r="AI98" i="18"/>
  <c r="AH98" i="18"/>
  <c r="AB98" i="18"/>
  <c r="AA98" i="18"/>
  <c r="AJ97" i="18"/>
  <c r="AC97" i="18"/>
  <c r="AJ96" i="18"/>
  <c r="AC96" i="18"/>
  <c r="AI91" i="18"/>
  <c r="AH91" i="18"/>
  <c r="AB91" i="18"/>
  <c r="AA91" i="18"/>
  <c r="AJ90" i="18"/>
  <c r="AC90" i="18"/>
  <c r="AJ89" i="18"/>
  <c r="AC89" i="18"/>
  <c r="AI84" i="18"/>
  <c r="AH84" i="18"/>
  <c r="AB84" i="18"/>
  <c r="AA84" i="18"/>
  <c r="AJ83" i="18"/>
  <c r="AC83" i="18"/>
  <c r="AJ82" i="18"/>
  <c r="AC82" i="18"/>
  <c r="AI77" i="18"/>
  <c r="AH77" i="18"/>
  <c r="AB77" i="18"/>
  <c r="AA77" i="18"/>
  <c r="AJ76" i="18"/>
  <c r="AC76" i="18"/>
  <c r="AJ75" i="18"/>
  <c r="AC75" i="18"/>
  <c r="AI70" i="18"/>
  <c r="AJ70" i="18" s="1"/>
  <c r="AH70" i="18"/>
  <c r="AB70" i="18"/>
  <c r="AA70" i="18"/>
  <c r="AJ69" i="18"/>
  <c r="AC69" i="18"/>
  <c r="AJ68" i="18"/>
  <c r="AC68" i="18"/>
  <c r="AI63" i="18"/>
  <c r="AH63" i="18"/>
  <c r="AB63" i="18"/>
  <c r="AA63" i="18"/>
  <c r="AJ62" i="18"/>
  <c r="AC62" i="18"/>
  <c r="AJ61" i="18"/>
  <c r="AC61" i="18"/>
  <c r="AI56" i="18"/>
  <c r="AH56" i="18"/>
  <c r="AB56" i="18"/>
  <c r="AA56" i="18"/>
  <c r="AJ55" i="18"/>
  <c r="AC55" i="18"/>
  <c r="AJ54" i="18"/>
  <c r="AJ56" i="18" s="1"/>
  <c r="AC54" i="18"/>
  <c r="AI49" i="18"/>
  <c r="AH49" i="18"/>
  <c r="AB49" i="18"/>
  <c r="AA49" i="18"/>
  <c r="AC49" i="18" s="1"/>
  <c r="AJ48" i="18"/>
  <c r="AC48" i="18"/>
  <c r="AJ47" i="18"/>
  <c r="AC47" i="18"/>
  <c r="AI42" i="18"/>
  <c r="AH42" i="18"/>
  <c r="AB42" i="18"/>
  <c r="AA42" i="18"/>
  <c r="AJ41" i="18"/>
  <c r="AC41" i="18"/>
  <c r="AJ40" i="18"/>
  <c r="AC40" i="18"/>
  <c r="AI35" i="18"/>
  <c r="AH35" i="18"/>
  <c r="AB35" i="18"/>
  <c r="AA35" i="18"/>
  <c r="AJ34" i="18"/>
  <c r="AC34" i="18"/>
  <c r="AJ33" i="18"/>
  <c r="AC33" i="18"/>
  <c r="AI28" i="18"/>
  <c r="AH28" i="18"/>
  <c r="AB28" i="18"/>
  <c r="AA28" i="18"/>
  <c r="AJ27" i="18"/>
  <c r="AC27" i="18"/>
  <c r="AJ26" i="18"/>
  <c r="AC26" i="18"/>
  <c r="AI21" i="18"/>
  <c r="AH21" i="18"/>
  <c r="AB21" i="18"/>
  <c r="AA21" i="18"/>
  <c r="AJ20" i="18"/>
  <c r="AC20" i="18"/>
  <c r="AJ19" i="18"/>
  <c r="AC19" i="18"/>
  <c r="AI14" i="18"/>
  <c r="AH14" i="18"/>
  <c r="AB14" i="18"/>
  <c r="AA14" i="18"/>
  <c r="AJ13" i="18"/>
  <c r="AC13" i="18"/>
  <c r="AJ12" i="18"/>
  <c r="AC12" i="18"/>
  <c r="AI7" i="18"/>
  <c r="AH7" i="18"/>
  <c r="AB7" i="18"/>
  <c r="AA7" i="18"/>
  <c r="AJ6" i="18"/>
  <c r="AC6" i="18"/>
  <c r="AJ5" i="18"/>
  <c r="AC5" i="18"/>
  <c r="AI126" i="17"/>
  <c r="AH126" i="17"/>
  <c r="AJ125" i="17"/>
  <c r="AJ124" i="17"/>
  <c r="AI119" i="17"/>
  <c r="AH119" i="17"/>
  <c r="AJ118" i="17"/>
  <c r="AJ117" i="17"/>
  <c r="AI112" i="17"/>
  <c r="AH112" i="17"/>
  <c r="AJ111" i="17"/>
  <c r="AJ110" i="17"/>
  <c r="AI105" i="17"/>
  <c r="AH105" i="17"/>
  <c r="AJ104" i="17"/>
  <c r="AJ103" i="17"/>
  <c r="AI98" i="17"/>
  <c r="AH98" i="17"/>
  <c r="AJ97" i="17"/>
  <c r="AJ96" i="17"/>
  <c r="AI91" i="17"/>
  <c r="AH91" i="17"/>
  <c r="AJ90" i="17"/>
  <c r="AJ89" i="17"/>
  <c r="AI84" i="17"/>
  <c r="AH84" i="17"/>
  <c r="AJ83" i="17"/>
  <c r="AJ82" i="17"/>
  <c r="AI77" i="17"/>
  <c r="AH77" i="17"/>
  <c r="AJ76" i="17"/>
  <c r="AJ75" i="17"/>
  <c r="AI70" i="17"/>
  <c r="AH70" i="17"/>
  <c r="AJ69" i="17"/>
  <c r="AJ68" i="17"/>
  <c r="AI63" i="17"/>
  <c r="AH63" i="17"/>
  <c r="AJ62" i="17"/>
  <c r="AJ61" i="17"/>
  <c r="AI56" i="17"/>
  <c r="AH56" i="17"/>
  <c r="AJ55" i="17"/>
  <c r="AJ54" i="17"/>
  <c r="AI49" i="17"/>
  <c r="AH49" i="17"/>
  <c r="AJ49" i="17" s="1"/>
  <c r="AJ48" i="17"/>
  <c r="AJ47" i="17"/>
  <c r="AI42" i="17"/>
  <c r="AH42" i="17"/>
  <c r="AJ41" i="17"/>
  <c r="AJ40" i="17"/>
  <c r="AI35" i="17"/>
  <c r="AH35" i="17"/>
  <c r="AJ34" i="17"/>
  <c r="AJ33" i="17"/>
  <c r="AI28" i="17"/>
  <c r="AH28" i="17"/>
  <c r="AJ27" i="17"/>
  <c r="AJ26" i="17"/>
  <c r="AI21" i="17"/>
  <c r="AH21" i="17"/>
  <c r="AJ21" i="17" s="1"/>
  <c r="AJ20" i="17"/>
  <c r="AJ19" i="17"/>
  <c r="AI14" i="17"/>
  <c r="AH14" i="17"/>
  <c r="AJ13" i="17"/>
  <c r="AJ12" i="17"/>
  <c r="AI7" i="17"/>
  <c r="AH7" i="17"/>
  <c r="AJ7" i="17" s="1"/>
  <c r="AJ6" i="17"/>
  <c r="AJ5" i="17"/>
  <c r="AB126" i="17"/>
  <c r="AA126" i="17"/>
  <c r="AC125" i="17"/>
  <c r="AC124" i="17"/>
  <c r="AB119" i="17"/>
  <c r="AA119" i="17"/>
  <c r="AC118" i="17"/>
  <c r="AC117" i="17"/>
  <c r="AB112" i="17"/>
  <c r="AA112" i="17"/>
  <c r="AC111" i="17"/>
  <c r="AC110" i="17"/>
  <c r="AB105" i="17"/>
  <c r="AC105" i="17" s="1"/>
  <c r="AA105" i="17"/>
  <c r="AC104" i="17"/>
  <c r="AC103" i="17"/>
  <c r="AB98" i="17"/>
  <c r="AA98" i="17"/>
  <c r="AC97" i="17"/>
  <c r="AC96" i="17"/>
  <c r="AC98" i="17" s="1"/>
  <c r="AB91" i="17"/>
  <c r="AA91" i="17"/>
  <c r="AC90" i="17"/>
  <c r="AC89" i="17"/>
  <c r="AB84" i="17"/>
  <c r="AA84" i="17"/>
  <c r="AC83" i="17"/>
  <c r="AC82" i="17"/>
  <c r="AB77" i="17"/>
  <c r="AA77" i="17"/>
  <c r="AC76" i="17"/>
  <c r="AC75" i="17"/>
  <c r="AB70" i="17"/>
  <c r="AA70" i="17"/>
  <c r="AC69" i="17"/>
  <c r="AC68" i="17"/>
  <c r="AB63" i="17"/>
  <c r="AA63" i="17"/>
  <c r="AC62" i="17"/>
  <c r="AC61" i="17"/>
  <c r="AB56" i="17"/>
  <c r="AA56" i="17"/>
  <c r="AC55" i="17"/>
  <c r="AC54" i="17"/>
  <c r="AB49" i="17"/>
  <c r="AA49" i="17"/>
  <c r="AC48" i="17"/>
  <c r="AC47" i="17"/>
  <c r="AB42" i="17"/>
  <c r="AA42" i="17"/>
  <c r="AC41" i="17"/>
  <c r="AC40" i="17"/>
  <c r="AB35" i="17"/>
  <c r="AA35" i="17"/>
  <c r="AC34" i="17"/>
  <c r="AC33" i="17"/>
  <c r="AB28" i="17"/>
  <c r="AA28" i="17"/>
  <c r="AC27" i="17"/>
  <c r="AC26" i="17"/>
  <c r="AB21" i="17"/>
  <c r="AA21" i="17"/>
  <c r="AC21" i="17" s="1"/>
  <c r="AC20" i="17"/>
  <c r="AC19" i="17"/>
  <c r="AB14" i="17"/>
  <c r="AA14" i="17"/>
  <c r="AC13" i="17"/>
  <c r="AC12" i="17"/>
  <c r="AB7" i="17"/>
  <c r="AA7" i="17"/>
  <c r="AC6" i="17"/>
  <c r="AC5" i="17"/>
  <c r="V84" i="18"/>
  <c r="U84" i="18"/>
  <c r="T84" i="18"/>
  <c r="S84" i="18"/>
  <c r="R84" i="18"/>
  <c r="V83" i="18"/>
  <c r="U83" i="18"/>
  <c r="T83" i="18"/>
  <c r="S83" i="18"/>
  <c r="R83" i="18"/>
  <c r="V82" i="18"/>
  <c r="U82" i="18"/>
  <c r="T82" i="18"/>
  <c r="S82" i="18"/>
  <c r="R82" i="18"/>
  <c r="V77" i="18"/>
  <c r="U77" i="18"/>
  <c r="T77" i="18"/>
  <c r="S77" i="18"/>
  <c r="R77" i="18"/>
  <c r="V76" i="18"/>
  <c r="U76" i="18"/>
  <c r="T76" i="18"/>
  <c r="S76" i="18"/>
  <c r="R76" i="18"/>
  <c r="V75" i="18"/>
  <c r="U75" i="18"/>
  <c r="T75" i="18"/>
  <c r="S75" i="18"/>
  <c r="R75" i="18"/>
  <c r="V70" i="18"/>
  <c r="U70" i="18"/>
  <c r="T70" i="18"/>
  <c r="S70" i="18"/>
  <c r="R70" i="18"/>
  <c r="V69" i="18"/>
  <c r="U69" i="18"/>
  <c r="T69" i="18"/>
  <c r="S69" i="18"/>
  <c r="R69" i="18"/>
  <c r="V68" i="18"/>
  <c r="U68" i="18"/>
  <c r="T68" i="18"/>
  <c r="S68" i="18"/>
  <c r="R68" i="18"/>
  <c r="V63" i="18"/>
  <c r="U63" i="18"/>
  <c r="T63" i="18"/>
  <c r="S63" i="18"/>
  <c r="R63" i="18"/>
  <c r="V62" i="18"/>
  <c r="U62" i="18"/>
  <c r="T62" i="18"/>
  <c r="S62" i="18"/>
  <c r="R62" i="18"/>
  <c r="V61" i="18"/>
  <c r="U61" i="18"/>
  <c r="T61" i="18"/>
  <c r="S61" i="18"/>
  <c r="R61" i="18"/>
  <c r="V56" i="18"/>
  <c r="U56" i="18"/>
  <c r="T56" i="18"/>
  <c r="S56" i="18"/>
  <c r="R56" i="18"/>
  <c r="V55" i="18"/>
  <c r="U55" i="18"/>
  <c r="T55" i="18"/>
  <c r="S55" i="18"/>
  <c r="R55" i="18"/>
  <c r="V54" i="18"/>
  <c r="U54" i="18"/>
  <c r="T54" i="18"/>
  <c r="S54" i="18"/>
  <c r="R54" i="18"/>
  <c r="V49" i="18"/>
  <c r="U49" i="18"/>
  <c r="T49" i="18"/>
  <c r="S49" i="18"/>
  <c r="R49" i="18"/>
  <c r="V48" i="18"/>
  <c r="U48" i="18"/>
  <c r="T48" i="18"/>
  <c r="S48" i="18"/>
  <c r="R48" i="18"/>
  <c r="V47" i="18"/>
  <c r="U47" i="18"/>
  <c r="T47" i="18"/>
  <c r="S47" i="18"/>
  <c r="R47" i="18"/>
  <c r="V42" i="18"/>
  <c r="U42" i="18"/>
  <c r="T42" i="18"/>
  <c r="S42" i="18"/>
  <c r="R42" i="18"/>
  <c r="V41" i="18"/>
  <c r="U41" i="18"/>
  <c r="T41" i="18"/>
  <c r="S41" i="18"/>
  <c r="R41" i="18"/>
  <c r="V40" i="18"/>
  <c r="U40" i="18"/>
  <c r="T40" i="18"/>
  <c r="S40" i="18"/>
  <c r="R40" i="18"/>
  <c r="V35" i="18"/>
  <c r="U35" i="18"/>
  <c r="T35" i="18"/>
  <c r="S35" i="18"/>
  <c r="R35" i="18"/>
  <c r="V34" i="18"/>
  <c r="U34" i="18"/>
  <c r="T34" i="18"/>
  <c r="S34" i="18"/>
  <c r="R34" i="18"/>
  <c r="V33" i="18"/>
  <c r="U33" i="18"/>
  <c r="T33" i="18"/>
  <c r="S33" i="18"/>
  <c r="R33" i="18"/>
  <c r="V28" i="18"/>
  <c r="U28" i="18"/>
  <c r="T28" i="18"/>
  <c r="S28" i="18"/>
  <c r="R28" i="18"/>
  <c r="V27" i="18"/>
  <c r="U27" i="18"/>
  <c r="T27" i="18"/>
  <c r="S27" i="18"/>
  <c r="R27" i="18"/>
  <c r="V26" i="18"/>
  <c r="U26" i="18"/>
  <c r="T26" i="18"/>
  <c r="S26" i="18"/>
  <c r="R26" i="18"/>
  <c r="V21" i="18"/>
  <c r="U21" i="18"/>
  <c r="T21" i="18"/>
  <c r="S21" i="18"/>
  <c r="R21" i="18"/>
  <c r="V20" i="18"/>
  <c r="U20" i="18"/>
  <c r="T20" i="18"/>
  <c r="S20" i="18"/>
  <c r="R20" i="18"/>
  <c r="V19" i="18"/>
  <c r="U19" i="18"/>
  <c r="T19" i="18"/>
  <c r="S19" i="18"/>
  <c r="R19" i="18"/>
  <c r="V14" i="18"/>
  <c r="U14" i="18"/>
  <c r="T14" i="18"/>
  <c r="S14" i="18"/>
  <c r="R14" i="18"/>
  <c r="V13" i="18"/>
  <c r="U13" i="18"/>
  <c r="T13" i="18"/>
  <c r="S13" i="18"/>
  <c r="R13" i="18"/>
  <c r="V12" i="18"/>
  <c r="U12" i="18"/>
  <c r="T12" i="18"/>
  <c r="S12" i="18"/>
  <c r="R12" i="18"/>
  <c r="V7" i="18"/>
  <c r="U7" i="18"/>
  <c r="T7" i="18"/>
  <c r="S7" i="18"/>
  <c r="R7" i="18"/>
  <c r="V6" i="18"/>
  <c r="U6" i="18"/>
  <c r="T6" i="18"/>
  <c r="S6" i="18"/>
  <c r="R6" i="18"/>
  <c r="V5" i="18"/>
  <c r="U5" i="18"/>
  <c r="T5" i="18"/>
  <c r="S5" i="18"/>
  <c r="R5" i="18"/>
  <c r="V84" i="17"/>
  <c r="U84" i="17"/>
  <c r="T84" i="17"/>
  <c r="S84" i="17"/>
  <c r="R84" i="17"/>
  <c r="V83" i="17"/>
  <c r="U83" i="17"/>
  <c r="T83" i="17"/>
  <c r="S83" i="17"/>
  <c r="R83" i="17"/>
  <c r="V82" i="17"/>
  <c r="U82" i="17"/>
  <c r="T82" i="17"/>
  <c r="S82" i="17"/>
  <c r="R82" i="17"/>
  <c r="V77" i="17"/>
  <c r="U77" i="17"/>
  <c r="T77" i="17"/>
  <c r="S77" i="17"/>
  <c r="R77" i="17"/>
  <c r="V76" i="17"/>
  <c r="U76" i="17"/>
  <c r="T76" i="17"/>
  <c r="S76" i="17"/>
  <c r="R76" i="17"/>
  <c r="V75" i="17"/>
  <c r="U75" i="17"/>
  <c r="T75" i="17"/>
  <c r="S75" i="17"/>
  <c r="R75" i="17"/>
  <c r="V70" i="17"/>
  <c r="U70" i="17"/>
  <c r="T70" i="17"/>
  <c r="S70" i="17"/>
  <c r="R70" i="17"/>
  <c r="V69" i="17"/>
  <c r="U69" i="17"/>
  <c r="T69" i="17"/>
  <c r="S69" i="17"/>
  <c r="R69" i="17"/>
  <c r="V68" i="17"/>
  <c r="U68" i="17"/>
  <c r="T68" i="17"/>
  <c r="S68" i="17"/>
  <c r="R68" i="17"/>
  <c r="V63" i="17"/>
  <c r="U63" i="17"/>
  <c r="T63" i="17"/>
  <c r="S63" i="17"/>
  <c r="R63" i="17"/>
  <c r="V62" i="17"/>
  <c r="U62" i="17"/>
  <c r="T62" i="17"/>
  <c r="S62" i="17"/>
  <c r="R62" i="17"/>
  <c r="V61" i="17"/>
  <c r="U61" i="17"/>
  <c r="T61" i="17"/>
  <c r="S61" i="17"/>
  <c r="R61" i="17"/>
  <c r="V56" i="17"/>
  <c r="U56" i="17"/>
  <c r="T56" i="17"/>
  <c r="S56" i="17"/>
  <c r="R56" i="17"/>
  <c r="V55" i="17"/>
  <c r="U55" i="17"/>
  <c r="T55" i="17"/>
  <c r="S55" i="17"/>
  <c r="R55" i="17"/>
  <c r="V54" i="17"/>
  <c r="U54" i="17"/>
  <c r="T54" i="17"/>
  <c r="S54" i="17"/>
  <c r="R54" i="17"/>
  <c r="V49" i="17"/>
  <c r="U49" i="17"/>
  <c r="T49" i="17"/>
  <c r="S49" i="17"/>
  <c r="R49" i="17"/>
  <c r="V48" i="17"/>
  <c r="U48" i="17"/>
  <c r="T48" i="17"/>
  <c r="S48" i="17"/>
  <c r="R48" i="17"/>
  <c r="V47" i="17"/>
  <c r="U47" i="17"/>
  <c r="T47" i="17"/>
  <c r="S47" i="17"/>
  <c r="R47" i="17"/>
  <c r="V42" i="17"/>
  <c r="U42" i="17"/>
  <c r="T42" i="17"/>
  <c r="S42" i="17"/>
  <c r="R42" i="17"/>
  <c r="V41" i="17"/>
  <c r="U41" i="17"/>
  <c r="T41" i="17"/>
  <c r="S41" i="17"/>
  <c r="R41" i="17"/>
  <c r="V40" i="17"/>
  <c r="U40" i="17"/>
  <c r="T40" i="17"/>
  <c r="S40" i="17"/>
  <c r="R40" i="17"/>
  <c r="V35" i="17"/>
  <c r="U35" i="17"/>
  <c r="T35" i="17"/>
  <c r="S35" i="17"/>
  <c r="R35" i="17"/>
  <c r="V34" i="17"/>
  <c r="U34" i="17"/>
  <c r="T34" i="17"/>
  <c r="S34" i="17"/>
  <c r="R34" i="17"/>
  <c r="V33" i="17"/>
  <c r="U33" i="17"/>
  <c r="T33" i="17"/>
  <c r="S33" i="17"/>
  <c r="R33" i="17"/>
  <c r="V28" i="17"/>
  <c r="U28" i="17"/>
  <c r="T28" i="17"/>
  <c r="S28" i="17"/>
  <c r="R28" i="17"/>
  <c r="V27" i="17"/>
  <c r="U27" i="17"/>
  <c r="T27" i="17"/>
  <c r="S27" i="17"/>
  <c r="R27" i="17"/>
  <c r="V26" i="17"/>
  <c r="U26" i="17"/>
  <c r="T26" i="17"/>
  <c r="S26" i="17"/>
  <c r="R26" i="17"/>
  <c r="V21" i="17"/>
  <c r="U21" i="17"/>
  <c r="T21" i="17"/>
  <c r="S21" i="17"/>
  <c r="R21" i="17"/>
  <c r="V20" i="17"/>
  <c r="U20" i="17"/>
  <c r="T20" i="17"/>
  <c r="S20" i="17"/>
  <c r="R20" i="17"/>
  <c r="V19" i="17"/>
  <c r="U19" i="17"/>
  <c r="T19" i="17"/>
  <c r="S19" i="17"/>
  <c r="R19" i="17"/>
  <c r="V14" i="17"/>
  <c r="U14" i="17"/>
  <c r="T14" i="17"/>
  <c r="S14" i="17"/>
  <c r="R14" i="17"/>
  <c r="V13" i="17"/>
  <c r="U13" i="17"/>
  <c r="T13" i="17"/>
  <c r="S13" i="17"/>
  <c r="R13" i="17"/>
  <c r="V12" i="17"/>
  <c r="U12" i="17"/>
  <c r="T12" i="17"/>
  <c r="S12" i="17"/>
  <c r="R12" i="17"/>
  <c r="V7" i="17"/>
  <c r="U7" i="17"/>
  <c r="T7" i="17"/>
  <c r="S7" i="17"/>
  <c r="R7" i="17"/>
  <c r="V6" i="17"/>
  <c r="U6" i="17"/>
  <c r="T6" i="17"/>
  <c r="S6" i="17"/>
  <c r="R6" i="17"/>
  <c r="V5" i="17"/>
  <c r="U5" i="17"/>
  <c r="T5" i="17"/>
  <c r="S5" i="17"/>
  <c r="R5" i="17"/>
  <c r="X41" i="7"/>
  <c r="W41" i="7"/>
  <c r="Y40" i="7"/>
  <c r="Y39" i="7"/>
  <c r="X34" i="7"/>
  <c r="W34" i="7"/>
  <c r="Y33" i="7"/>
  <c r="Y32" i="7"/>
  <c r="X27" i="7"/>
  <c r="W27" i="7"/>
  <c r="Y26" i="7"/>
  <c r="Y25" i="7"/>
  <c r="X20" i="7"/>
  <c r="W20" i="7"/>
  <c r="Y19" i="7"/>
  <c r="Y18" i="7"/>
  <c r="X13" i="7"/>
  <c r="W13" i="7"/>
  <c r="Y12" i="7"/>
  <c r="Y11" i="7"/>
  <c r="Y13" i="7" s="1"/>
  <c r="X6" i="7"/>
  <c r="W6" i="7"/>
  <c r="Y5" i="7"/>
  <c r="Y4" i="7"/>
  <c r="Y19" i="5"/>
  <c r="Y20" i="5"/>
  <c r="Y18" i="5"/>
  <c r="X20" i="5"/>
  <c r="W20" i="5"/>
  <c r="X13" i="5"/>
  <c r="Y13" i="5"/>
  <c r="W13" i="5"/>
  <c r="Y12" i="5"/>
  <c r="Y11" i="5"/>
  <c r="Y5" i="5"/>
  <c r="Y6" i="5"/>
  <c r="X6" i="5"/>
  <c r="W6" i="5"/>
  <c r="Y4" i="5"/>
  <c r="AJ126" i="18" l="1"/>
  <c r="AJ119" i="18"/>
  <c r="AJ105" i="18"/>
  <c r="AJ98" i="18"/>
  <c r="AJ91" i="18"/>
  <c r="AJ84" i="18"/>
  <c r="AJ77" i="18"/>
  <c r="AJ63" i="18"/>
  <c r="AJ49" i="18"/>
  <c r="AJ42" i="18"/>
  <c r="AJ35" i="18"/>
  <c r="AJ28" i="18"/>
  <c r="AJ21" i="18"/>
  <c r="AJ14" i="18"/>
  <c r="AJ7" i="18"/>
  <c r="AC126" i="18"/>
  <c r="AC112" i="18"/>
  <c r="AC105" i="18"/>
  <c r="AC98" i="18"/>
  <c r="AC91" i="18"/>
  <c r="AC84" i="18"/>
  <c r="AC77" i="18"/>
  <c r="AC70" i="18"/>
  <c r="AC63" i="18"/>
  <c r="AC56" i="18"/>
  <c r="AC42" i="18"/>
  <c r="AC35" i="18"/>
  <c r="AC28" i="18"/>
  <c r="AC21" i="18"/>
  <c r="AC14" i="18"/>
  <c r="AC7" i="18"/>
  <c r="AJ126" i="17"/>
  <c r="AJ119" i="17"/>
  <c r="AJ112" i="17"/>
  <c r="AJ105" i="17"/>
  <c r="AJ98" i="17"/>
  <c r="AJ91" i="17"/>
  <c r="AJ84" i="17"/>
  <c r="AJ77" i="17"/>
  <c r="AJ70" i="17"/>
  <c r="AJ63" i="17"/>
  <c r="AJ56" i="17"/>
  <c r="AJ42" i="17"/>
  <c r="AJ35" i="17"/>
  <c r="AJ28" i="17"/>
  <c r="AJ14" i="17"/>
  <c r="AC126" i="17"/>
  <c r="AC119" i="17"/>
  <c r="AC112" i="17"/>
  <c r="AC91" i="17"/>
  <c r="AC84" i="17"/>
  <c r="AC77" i="17"/>
  <c r="AC70" i="17"/>
  <c r="AC63" i="17"/>
  <c r="AC56" i="17"/>
  <c r="AC49" i="17"/>
  <c r="AC42" i="17"/>
  <c r="AC35" i="17"/>
  <c r="AC28" i="17"/>
  <c r="AC14" i="17"/>
  <c r="AC7" i="17"/>
  <c r="Y41" i="7"/>
  <c r="Y34" i="7"/>
  <c r="Y27" i="7"/>
  <c r="Y20" i="7"/>
  <c r="Y6" i="7"/>
</calcChain>
</file>

<file path=xl/sharedStrings.xml><?xml version="1.0" encoding="utf-8"?>
<sst xmlns="http://schemas.openxmlformats.org/spreadsheetml/2006/main" count="3393" uniqueCount="574">
  <si>
    <t>Program</t>
  </si>
  <si>
    <t>Sensitivity</t>
  </si>
  <si>
    <t>Specificity</t>
  </si>
  <si>
    <t>PPV</t>
  </si>
  <si>
    <t>NPV</t>
  </si>
  <si>
    <t>Accuracy</t>
  </si>
  <si>
    <t>Daftar Interaksi Obat</t>
  </si>
  <si>
    <t>UpToDate LexiDrug</t>
  </si>
  <si>
    <t>Copilot</t>
  </si>
  <si>
    <t>Gemini</t>
  </si>
  <si>
    <t>Keterangan</t>
  </si>
  <si>
    <t>True Positive</t>
  </si>
  <si>
    <t>True Negative</t>
  </si>
  <si>
    <t>False Positive</t>
  </si>
  <si>
    <t>False Negative</t>
  </si>
  <si>
    <t>No.</t>
  </si>
  <si>
    <t xml:space="preserve">Keterangan: </t>
  </si>
  <si>
    <t>2 = Minor</t>
  </si>
  <si>
    <t>3 = Moderate</t>
  </si>
  <si>
    <t>4 = Major</t>
  </si>
  <si>
    <t>1 = No Known Interaction</t>
  </si>
  <si>
    <t>Digoksin_Amiodaron</t>
  </si>
  <si>
    <t>Digoksin_Atorvastatin</t>
  </si>
  <si>
    <t>Digoksin_Kaptopril</t>
  </si>
  <si>
    <t>Digoksin_Karvedilol</t>
  </si>
  <si>
    <t>Digoksin_Diltiazem</t>
  </si>
  <si>
    <t>Digoksin_Verapamil</t>
  </si>
  <si>
    <t>Digoksin_Nikardipin</t>
  </si>
  <si>
    <t>Digoksin_Nifedipin</t>
  </si>
  <si>
    <t>Digoksin_Telmisartan</t>
  </si>
  <si>
    <t>Digoksin_Spironolakton</t>
  </si>
  <si>
    <t>Digoksin_Tikagrelor</t>
  </si>
  <si>
    <t>Digoksin_Kolestiramin</t>
  </si>
  <si>
    <t>Digoksin_Ivabradin</t>
  </si>
  <si>
    <t>Digoksin_Klaritromisin</t>
  </si>
  <si>
    <t>Digoksin_Itrakonazol</t>
  </si>
  <si>
    <t>Digoksin_Lopinavir-Ritonavir</t>
  </si>
  <si>
    <t>Digoksin_Gentamisin</t>
  </si>
  <si>
    <t>Digoksin_Eritromisin</t>
  </si>
  <si>
    <t>Digoksin_Tetrasiklin</t>
  </si>
  <si>
    <t>Digoksin_Kuinin</t>
  </si>
  <si>
    <t>Digoksin_Trimetoprim</t>
  </si>
  <si>
    <t>Digoksin_Azitromisin</t>
  </si>
  <si>
    <t>Digoksin_Rifampisin</t>
  </si>
  <si>
    <t>Digoksin_Ketokonazol</t>
  </si>
  <si>
    <t>Digoksin_Siklosporin</t>
  </si>
  <si>
    <t>Digoksin_Lapatinib</t>
  </si>
  <si>
    <t>Digoksin_Omeprazol</t>
  </si>
  <si>
    <t>Digoksin_Esomeprazol</t>
  </si>
  <si>
    <t>Digoksin_Lansoprazol</t>
  </si>
  <si>
    <t>Digoksin_Antasida</t>
  </si>
  <si>
    <t>Digoksin_Kaolin-Pektin</t>
  </si>
  <si>
    <t>Digoksin_Metoklopramid</t>
  </si>
  <si>
    <t>Digoksin_Sukralfat</t>
  </si>
  <si>
    <t>Digoksin_Sulfasalazin</t>
  </si>
  <si>
    <t>Digoksin_Sertralin</t>
  </si>
  <si>
    <t>Digoksin_Alprazolam</t>
  </si>
  <si>
    <t>Digoksin_Natrium Diklofenak</t>
  </si>
  <si>
    <t>Digoksin_Ibuprofen</t>
  </si>
  <si>
    <t>Digoksin_Metformin</t>
  </si>
  <si>
    <t>Digoksin_Akarbose</t>
  </si>
  <si>
    <t>Digoksin_Salbutamol</t>
  </si>
  <si>
    <t>Digoksin_Fenitoin</t>
  </si>
  <si>
    <t>Digoksin_Epinefrin</t>
  </si>
  <si>
    <t>Digoksin_Norepinefrin</t>
  </si>
  <si>
    <t>Digoksin_Dopamin</t>
  </si>
  <si>
    <t>Digoksin_Suksinilkolin</t>
  </si>
  <si>
    <t>Digoksin_Kalsium Glukonat</t>
  </si>
  <si>
    <t>Digoksin_Kalsium Karbonat</t>
  </si>
  <si>
    <t>Digoksin_Kalsium Laktat</t>
  </si>
  <si>
    <t>Warfarin_Amiodaron</t>
  </si>
  <si>
    <t>Warfarin_Propranolol</t>
  </si>
  <si>
    <t>Warfarin_Verapamil</t>
  </si>
  <si>
    <t>Warfarin_Amlodipin</t>
  </si>
  <si>
    <t>Warfarin_Atorvastatin</t>
  </si>
  <si>
    <t>Warfarin_Silostazol</t>
  </si>
  <si>
    <t>Warfarin_Diltiazem</t>
  </si>
  <si>
    <t>Warfarin_Aspirin</t>
  </si>
  <si>
    <t>Warfarin_Klopidogrel</t>
  </si>
  <si>
    <t>Warfarin_Tikagrelor</t>
  </si>
  <si>
    <t>Warfarin_Pravastatin</t>
  </si>
  <si>
    <t>Warfarin_Rosuvastatin</t>
  </si>
  <si>
    <t>Warfarin_Simvastatin</t>
  </si>
  <si>
    <t>Warfarin_Fenofibrat</t>
  </si>
  <si>
    <t>Warfarin_Gemfibrozil</t>
  </si>
  <si>
    <t>Warfarin_Kolestiramin</t>
  </si>
  <si>
    <t>Warfarin_Isosorbid Dinitrat</t>
  </si>
  <si>
    <t>Warfarin_Atenolol</t>
  </si>
  <si>
    <t>Warfarin_Bisoprolol</t>
  </si>
  <si>
    <t>Warfarin_Metoprolol</t>
  </si>
  <si>
    <t>Warfarin_Karvedilol</t>
  </si>
  <si>
    <t>Warfarin_Adenosin</t>
  </si>
  <si>
    <t>Warfarin_Digoksin</t>
  </si>
  <si>
    <t>Warfarin_Lidokain</t>
  </si>
  <si>
    <t>Warfarin_Doksazosin</t>
  </si>
  <si>
    <t>Warfarin_Hidroklorotiazid</t>
  </si>
  <si>
    <t>Warfarin_Imidapril</t>
  </si>
  <si>
    <t>Warfarin_Irbesartan</t>
  </si>
  <si>
    <t>Warfarin_Kandesartan</t>
  </si>
  <si>
    <t>Warfarin_Kaptopril</t>
  </si>
  <si>
    <t>Warfarin_Klonidin</t>
  </si>
  <si>
    <t>Warfarin_Lisinopril</t>
  </si>
  <si>
    <t>Warfarin_Metildopa</t>
  </si>
  <si>
    <t>Warfarin_Nifedipin</t>
  </si>
  <si>
    <t>Warfarin_Nikardipin</t>
  </si>
  <si>
    <t>Warfarin_Nimodipin</t>
  </si>
  <si>
    <t>Warfarin_Perindopril Arginin</t>
  </si>
  <si>
    <t>Warfarin_Ramipril</t>
  </si>
  <si>
    <t>Warfarin_Telmisartan</t>
  </si>
  <si>
    <t>Warfarin_Valsartan</t>
  </si>
  <si>
    <t>Warfarin_Furosemid</t>
  </si>
  <si>
    <t>Warfarin_Streptokinase</t>
  </si>
  <si>
    <t>Warfarin_Kapesitabin</t>
  </si>
  <si>
    <t>Warfarin_Bikalutamid</t>
  </si>
  <si>
    <t>Warfarin_Siklosporin</t>
  </si>
  <si>
    <t>Warfarin_Imatinib Mesilat</t>
  </si>
  <si>
    <t>Warfarin_Nilotinib</t>
  </si>
  <si>
    <t>Warfarin_Tamoksifen</t>
  </si>
  <si>
    <t>Warfarin_Siklofosfamid</t>
  </si>
  <si>
    <t>Warfarin_Fluorouracil</t>
  </si>
  <si>
    <t>Warfarin_Gefitinib</t>
  </si>
  <si>
    <t>Warfarin_Ifosfamid</t>
  </si>
  <si>
    <t>Warfarin_Sulfametoksazol-Trimetoprim</t>
  </si>
  <si>
    <t>Warfarin_Flukonazol</t>
  </si>
  <si>
    <t>Warfarin_Metronidazol</t>
  </si>
  <si>
    <t>Warfarin_Vorikonazol</t>
  </si>
  <si>
    <t>Warfarin_Rifampisin</t>
  </si>
  <si>
    <t>Warfarin_Asiklovir</t>
  </si>
  <si>
    <t>Warfarin_Siprofloksasin</t>
  </si>
  <si>
    <t>Warfarin_Terbinafin</t>
  </si>
  <si>
    <t>Warfarin_Klaritromisin</t>
  </si>
  <si>
    <t>Warfarin_Lopinavir-Ritonavir</t>
  </si>
  <si>
    <t>Warfarin_Eritromisin</t>
  </si>
  <si>
    <t>Warfarin_Isoniazid</t>
  </si>
  <si>
    <t>Warfarin_Itrakonazol</t>
  </si>
  <si>
    <t>Warfarin_Ketokonazol</t>
  </si>
  <si>
    <t>Warfarin_Efavirenz</t>
  </si>
  <si>
    <t>Warfarin_Azitromisin</t>
  </si>
  <si>
    <t>Warfarin_Spiramisin</t>
  </si>
  <si>
    <t>Warfarin_Sefoperazon-Sulbalktam</t>
  </si>
  <si>
    <t>Warfarin_Sefadroksil</t>
  </si>
  <si>
    <t>Warfarin_Sefaleksin</t>
  </si>
  <si>
    <t>Warfarin_Sefazolin</t>
  </si>
  <si>
    <t>Warfarin_Sefepim</t>
  </si>
  <si>
    <t>Warfarin_Sefiksim</t>
  </si>
  <si>
    <t>Warfarin_Sefoperazon</t>
  </si>
  <si>
    <t>Warfarin_Sefotaksim</t>
  </si>
  <si>
    <t>Warfarin_Sefpirom</t>
  </si>
  <si>
    <t>Warfarin_Seftazidim</t>
  </si>
  <si>
    <t>Warfarin_Seftriakson</t>
  </si>
  <si>
    <t>Warfarin_Sefuroksim</t>
  </si>
  <si>
    <t>Warfarin_Sulfadiazin</t>
  </si>
  <si>
    <t>Warfarin_Levofloksasin</t>
  </si>
  <si>
    <t>Warfarin_Moksifloksasin</t>
  </si>
  <si>
    <t>Warfarin_Ofloksasin</t>
  </si>
  <si>
    <t>Warfarin_Klindamisin</t>
  </si>
  <si>
    <t>Warfarin_Amoksisilin</t>
  </si>
  <si>
    <t>Warfarin_Ampisilin</t>
  </si>
  <si>
    <t>Warfarin_Benzatin Benzilpenisilin</t>
  </si>
  <si>
    <t>Warfarin_Fenoksimetil Penisilin</t>
  </si>
  <si>
    <t>Warfarin_Amoksisilin-Asam Klavulanat</t>
  </si>
  <si>
    <t>Warfarin_Ampisilin-Sulbaktam</t>
  </si>
  <si>
    <t>Warfarin_Prokain Benzilpenisilin</t>
  </si>
  <si>
    <t>Warfarin_Doksisiklin</t>
  </si>
  <si>
    <t>Warfarin_Oksitetrasiklin</t>
  </si>
  <si>
    <t>Warfarin_Tetrasiklin</t>
  </si>
  <si>
    <t>Warfarin_Amikasin</t>
  </si>
  <si>
    <t>Warfarin_Gentamisin</t>
  </si>
  <si>
    <t>Warfarin_Streptomisin</t>
  </si>
  <si>
    <t>Warfarin_Kloramfenikol</t>
  </si>
  <si>
    <t>Warfarin_Meropenem</t>
  </si>
  <si>
    <t>Warfarin_Pirimetamin</t>
  </si>
  <si>
    <t>Warfarin_Vankomisin</t>
  </si>
  <si>
    <t>Warfarin_Kuinin</t>
  </si>
  <si>
    <t>Warfarin_Fluvoksamin</t>
  </si>
  <si>
    <t>Warfarin_Alprazolam</t>
  </si>
  <si>
    <t>Warfarin_Fluoksetin</t>
  </si>
  <si>
    <t>Warfarin_Esitalopram</t>
  </si>
  <si>
    <t>Warfarin_Sertralin</t>
  </si>
  <si>
    <t>Warfarin_Amitriptilin</t>
  </si>
  <si>
    <t>Warfarin_Maprotilin</t>
  </si>
  <si>
    <t>Warfarin_Karbamazepin</t>
  </si>
  <si>
    <t xml:space="preserve">Warfarin_Fenobarbital </t>
  </si>
  <si>
    <t>Warfarin_Fenitoin</t>
  </si>
  <si>
    <t>Warfarin_Valproat</t>
  </si>
  <si>
    <t>Warfarin_Alopurinol</t>
  </si>
  <si>
    <t>Warfarin_Selekoksib</t>
  </si>
  <si>
    <t>Warfarin_Natrium Diklofenak</t>
  </si>
  <si>
    <t>Warfarin_Ibuprofen</t>
  </si>
  <si>
    <t>Warfarin_Ketoprofen</t>
  </si>
  <si>
    <t>Warfarin_Ketorolak</t>
  </si>
  <si>
    <t>Warfarin_Asam Mefenamat</t>
  </si>
  <si>
    <t>Warfarin_Metamizol</t>
  </si>
  <si>
    <t>Warfarin_Parasetamol</t>
  </si>
  <si>
    <t>Warfarin_Tramadol</t>
  </si>
  <si>
    <t>Warfarin_Gabapentin</t>
  </si>
  <si>
    <t>Warfarin_Pregabalin</t>
  </si>
  <si>
    <t>Warfarin_Fentanil</t>
  </si>
  <si>
    <t>Warfarin_Hidromorfon</t>
  </si>
  <si>
    <t>Warfarin_Kodein</t>
  </si>
  <si>
    <t>Warfarin_Morfin</t>
  </si>
  <si>
    <t>Warfarin_Oksikodon</t>
  </si>
  <si>
    <t>Warfarin_Petidin</t>
  </si>
  <si>
    <t>Warfarin_Remifentanil</t>
  </si>
  <si>
    <t>Warfarin_Sufentanil</t>
  </si>
  <si>
    <t>Warfarin_Ergotamin-Kafein</t>
  </si>
  <si>
    <t>Warfarin_Desogestrel</t>
  </si>
  <si>
    <t>Warfarin_Desogestrel-Etinilestradiol</t>
  </si>
  <si>
    <t>Warfarin_Levonorgestrel-Etinilestradiol</t>
  </si>
  <si>
    <t>Warfarin_Linestrenol</t>
  </si>
  <si>
    <t>Warfarin_Pioglitazon</t>
  </si>
  <si>
    <t>Warfarin_Prednison</t>
  </si>
  <si>
    <t>Warfarin_Glimepirid</t>
  </si>
  <si>
    <t>Warfarin_Karbimazol</t>
  </si>
  <si>
    <t>Warfarin_Levotiroksin</t>
  </si>
  <si>
    <t>Warfarin_Propiltiourasil</t>
  </si>
  <si>
    <t>Warfarin_Tiamazol</t>
  </si>
  <si>
    <t>Warfarin_Omeprazol</t>
  </si>
  <si>
    <t>Warfarin_Ranitidin</t>
  </si>
  <si>
    <t>Warfarin_Esomeprazol</t>
  </si>
  <si>
    <t>Warfarin_Lansoprazol</t>
  </si>
  <si>
    <t>Warfarin_Antasida</t>
  </si>
  <si>
    <t>Warfarin_Cisaprid</t>
  </si>
  <si>
    <t>Warfarin_Sukralfat</t>
  </si>
  <si>
    <t>Warfarin_Ondansetron</t>
  </si>
  <si>
    <t>Warfarin_Loperamid</t>
  </si>
  <si>
    <t>Warfarin_Sulfasalazin</t>
  </si>
  <si>
    <t>Warfarin_Dabigatran Eteksilat</t>
  </si>
  <si>
    <t>Warfarin_Heparin</t>
  </si>
  <si>
    <t>Warfarin_Enoksaparin</t>
  </si>
  <si>
    <t>Warfarin_Kalsitriol</t>
  </si>
  <si>
    <t>Warfarin_Fero Sulfat</t>
  </si>
  <si>
    <t>Warfarin_Mikonazol (Topikal)</t>
  </si>
  <si>
    <t>ChatGPT-4o Mini</t>
  </si>
  <si>
    <t>Total True Positive ChatGPT-4o Mini</t>
  </si>
  <si>
    <t>Total True Negative ChatGPT-4o Mini</t>
  </si>
  <si>
    <t>Total False Positive ChatGPT-4o Mini</t>
  </si>
  <si>
    <t>Total False Negative ChatGPT-4o Mini</t>
  </si>
  <si>
    <t>True Positive Warfarin ChatGPT-4o Mini</t>
  </si>
  <si>
    <t>True Negative Warfarin ChatGPT-4o Mini</t>
  </si>
  <si>
    <t>False Positive Warfarin ChatGPT-4o Mini</t>
  </si>
  <si>
    <t>False Negative Warfarin ChatGPT-4o Mini</t>
  </si>
  <si>
    <t>True Positive Digoksin ChatGPT-4o Mini</t>
  </si>
  <si>
    <t>True Negative Digoksin ChatGPT-4o Mini</t>
  </si>
  <si>
    <t>False Positive Digoksin ChatGPT-4o Mini</t>
  </si>
  <si>
    <t>False Negative Digoksin ChatGPT-4o Mini</t>
  </si>
  <si>
    <t>True Positive Digoksin Copilot</t>
  </si>
  <si>
    <t>True Negative Digoksin Copilot</t>
  </si>
  <si>
    <t>False Positive Digoksin Copilot</t>
  </si>
  <si>
    <t>False Negative Digoksin Copilot</t>
  </si>
  <si>
    <t>True Positive Digoksin Gemini</t>
  </si>
  <si>
    <t>True Negative Digoksin Gemini</t>
  </si>
  <si>
    <t>False Positive Digoksin Gemini</t>
  </si>
  <si>
    <t>False Negative Digoksin Gemini</t>
  </si>
  <si>
    <t>True Positive Warfarin Copilot</t>
  </si>
  <si>
    <t>True Negative Warfarin Copilot</t>
  </si>
  <si>
    <t>False Positive Warfarin Copilot</t>
  </si>
  <si>
    <t>False Negative Warfarin Copilot</t>
  </si>
  <si>
    <t>Total True Positive Copilot</t>
  </si>
  <si>
    <t>Total True Negative Copilot</t>
  </si>
  <si>
    <t>Total False Positive Copilot</t>
  </si>
  <si>
    <t>Total False Negative Copilot</t>
  </si>
  <si>
    <t>Total True Positive Gemini</t>
  </si>
  <si>
    <t>Total True Negative Gemini</t>
  </si>
  <si>
    <t>Total False Positive Gemini</t>
  </si>
  <si>
    <t>Total False Negative Gemini</t>
  </si>
  <si>
    <t>True Positive Warfarin Gemini</t>
  </si>
  <si>
    <t>True Negative Warfarin Gemini</t>
  </si>
  <si>
    <t>False Positive Warfarin Gemini</t>
  </si>
  <si>
    <t>False Negative Warfarin Gemini</t>
  </si>
  <si>
    <t>DIGOKSIN</t>
  </si>
  <si>
    <t>WARFARIN</t>
  </si>
  <si>
    <t>True Positive Digoksin Gemini (Versi 2)</t>
  </si>
  <si>
    <t>True Negative Digoksin Gemini (Versi 2)</t>
  </si>
  <si>
    <t>False Positive Digoksin Gemini (Versi 2)</t>
  </si>
  <si>
    <t>False Negative Digoksin Gemini (Versi 2)</t>
  </si>
  <si>
    <t>Total True Positive Gemini (Versi 2)</t>
  </si>
  <si>
    <t>Total True Negative Gemini (Versi 2)</t>
  </si>
  <si>
    <t>Total False Positive Gemini (Versi 2)</t>
  </si>
  <si>
    <t>Total False Negative Gemini (Versi 2)</t>
  </si>
  <si>
    <t>Gemini Versi 2</t>
  </si>
  <si>
    <t>True Positive Warfarin Gemini (Versi 2)</t>
  </si>
  <si>
    <t>True Negative Warfarin Gemini (Versi 2)</t>
  </si>
  <si>
    <t>False Positive Warfarin Gemini (Versi 2)</t>
  </si>
  <si>
    <t>False Negative Warfarin Gemini (Versi 2)</t>
  </si>
  <si>
    <t xml:space="preserve">True Positive ChatGPT-4o Mini (Obat Kardiovaskular) </t>
  </si>
  <si>
    <t xml:space="preserve">True Negative ChatGPT-4o Mini (Obat Kardiovaskular) </t>
  </si>
  <si>
    <t xml:space="preserve">False Positive ChatGPT-4o Mini (Obat Kardiovaskular) </t>
  </si>
  <si>
    <t xml:space="preserve">False Negative ChatGPT-4o Mini (Obat Kardiovaskular) </t>
  </si>
  <si>
    <t xml:space="preserve">True Positive Copilot (Obat Kardiovaskular) </t>
  </si>
  <si>
    <t xml:space="preserve">True Negative Copilot (Obat Kardiovaskular) </t>
  </si>
  <si>
    <t xml:space="preserve">False Positive Copilot (Obat Kardiovaskular) </t>
  </si>
  <si>
    <t xml:space="preserve">False Negative Copilot (Obat Kardiovaskular) </t>
  </si>
  <si>
    <t xml:space="preserve">True Positive Gemini (Obat Kardiovaskular) </t>
  </si>
  <si>
    <t xml:space="preserve">True Negative Gemini (Obat Kardiovaskular) </t>
  </si>
  <si>
    <t xml:space="preserve">False Positive Gemini (Obat Kardiovaskular) </t>
  </si>
  <si>
    <t xml:space="preserve">False Negative Gemini (Obat Kardiovaskular) </t>
  </si>
  <si>
    <t xml:space="preserve">True Positive ChatGPT-4o Mini (Antiinfeksi) </t>
  </si>
  <si>
    <t xml:space="preserve">True Negative ChatGPT-4o Mini (Antiinfeksi) </t>
  </si>
  <si>
    <t xml:space="preserve">False Positive ChatGPT-4o Mini (Antiinfeksi) </t>
  </si>
  <si>
    <t xml:space="preserve">False Negative ChatGPT-4o Mini (Antiinfeksi) </t>
  </si>
  <si>
    <t xml:space="preserve">True Positive Copilot (Antiinfeksi) </t>
  </si>
  <si>
    <t xml:space="preserve">True Negative Copilot (Antiinfeksi) </t>
  </si>
  <si>
    <t xml:space="preserve">False Positive Copilot (Antiinfeksi) </t>
  </si>
  <si>
    <t xml:space="preserve">False Negative Copilot (Antiinfeksi) </t>
  </si>
  <si>
    <t xml:space="preserve">True Positive Gemini (Antiinfeksi) </t>
  </si>
  <si>
    <t xml:space="preserve">True Negative Gemini (Antiinfeksi) </t>
  </si>
  <si>
    <t xml:space="preserve">False Positive Gemini (Antiinfeksi) </t>
  </si>
  <si>
    <t xml:space="preserve">False Negative Gemini (Antiinfeksi) </t>
  </si>
  <si>
    <t xml:space="preserve">True Positive ChatGPT-4o Mini (Antineoplastik dan Imunomodulator) </t>
  </si>
  <si>
    <t xml:space="preserve">True Negative ChatGPT-4o Mini (Antineoplastik dan Imunomodulator) </t>
  </si>
  <si>
    <t xml:space="preserve">False Positive ChatGPT-4o Mini (Antineoplastik dan Imunomodulator) </t>
  </si>
  <si>
    <t xml:space="preserve">False Negative ChatGPT-4o Mini (Antineoplastik dan Imunomodulator) </t>
  </si>
  <si>
    <t xml:space="preserve">True Positive Copilot (Antineoplastik dan Imunomodulator) </t>
  </si>
  <si>
    <t xml:space="preserve">True Negative Copilot (Antineoplastik dan Imunomodulator) </t>
  </si>
  <si>
    <t xml:space="preserve">False Positive Copilot (Antineoplastik dan Imunomodulator) </t>
  </si>
  <si>
    <t xml:space="preserve">False Negative Copilot (Antineoplastik dan Imunomodulator) </t>
  </si>
  <si>
    <t xml:space="preserve">True Positive Gemini (Antineoplastik dan Imunomodulator) </t>
  </si>
  <si>
    <t xml:space="preserve">True Negative Gemini (Antineoplastik dan Imunomodulator) </t>
  </si>
  <si>
    <t xml:space="preserve">False Positive Gemini (Antineoplastik dan Imunomodulator) </t>
  </si>
  <si>
    <t xml:space="preserve">False Negative Gemini (Antineoplastik dan Imunomodulator) </t>
  </si>
  <si>
    <t xml:space="preserve">True Positive ChatGPT-4o Mini (Obat untuk Saluran Cerna) </t>
  </si>
  <si>
    <t xml:space="preserve">True Negative ChatGPT-4o Mini (Obat untuk Saluran Cerna) </t>
  </si>
  <si>
    <t xml:space="preserve">False Positive ChatGPT-4o Mini (Obat untuk Saluran Cerna) </t>
  </si>
  <si>
    <t xml:space="preserve">False Negative ChatGPT-4o Mini (Obat untuk Saluran Cerna) </t>
  </si>
  <si>
    <t xml:space="preserve">True Positive Copilot (Obat untuk Saluran Cerna) </t>
  </si>
  <si>
    <t xml:space="preserve">True Negative Copilot (Obat untuk Saluran Cerna) </t>
  </si>
  <si>
    <t xml:space="preserve">False Positive Copilot (Obat untuk Saluran Cerna) </t>
  </si>
  <si>
    <t xml:space="preserve">False Negative Copilot (Obat untuk Saluran Cerna) </t>
  </si>
  <si>
    <t xml:space="preserve">True Positive Gemini (Obat untuk Saluran Cerna) </t>
  </si>
  <si>
    <t xml:space="preserve">True Negative Gemini (Obat untuk Saluran Cerna) </t>
  </si>
  <si>
    <t xml:space="preserve">False Positive Gemini (Obat untuk Saluran Cerna) </t>
  </si>
  <si>
    <t xml:space="preserve">False Negative Gemini (Obat untuk Saluran Cerna) </t>
  </si>
  <si>
    <t xml:space="preserve">True Positive ChatGPT-4o Mini (Psikofarmaka) </t>
  </si>
  <si>
    <t xml:space="preserve">True Negative ChatGPT-4o Mini (Psikofarmaka) </t>
  </si>
  <si>
    <t xml:space="preserve">False Positive ChatGPT-4o Mini (Psikofarmaka) </t>
  </si>
  <si>
    <t xml:space="preserve">False Negative ChatGPT-4o Mini (Psikofarmaka) </t>
  </si>
  <si>
    <t xml:space="preserve">True Positive Copilot (Psikofarmaka) </t>
  </si>
  <si>
    <t xml:space="preserve">True Negative Copilot (Psikofarmaka) </t>
  </si>
  <si>
    <t xml:space="preserve">False Positive Copilot (Psikofarmaka) </t>
  </si>
  <si>
    <t xml:space="preserve">False Negative Copilot (Psikofarmaka) </t>
  </si>
  <si>
    <t xml:space="preserve">True Positive Gemini (Psikofarmaka) </t>
  </si>
  <si>
    <t xml:space="preserve">True Negative Gemini (Psikofarmaka) </t>
  </si>
  <si>
    <t xml:space="preserve">False Positive Gemini (Psikofarmaka) </t>
  </si>
  <si>
    <t xml:space="preserve">False Negative Gemini (Psikofarmaka) </t>
  </si>
  <si>
    <t xml:space="preserve">True Positive ChatGPT-4o Mini (Analgesik, Antipiretik, Antiinflamasi Non Steroid, Antipirai) </t>
  </si>
  <si>
    <t xml:space="preserve">True Negative ChatGPT-4o Mini (Analgesik, Antipiretik, Antiinflamasi Non Steroid, Antipirai) </t>
  </si>
  <si>
    <t xml:space="preserve">False Positive ChatGPT-4o Mini (Analgesik, Antipiretik, Antiinflamasi Non Steroid, Antipirai) </t>
  </si>
  <si>
    <t xml:space="preserve">False Negative ChatGPT-4o Mini (Analgesik, Antipiretik, Antiinflamasi Non Steroid, Antipirai) </t>
  </si>
  <si>
    <t xml:space="preserve">True Positive Copilot (Analgesik, Antipiretik, Antiinflamasi Non Steroid, Antipirai) </t>
  </si>
  <si>
    <t xml:space="preserve">True Negative Copilot (Analgesik, Antipiretik, Antiinflamasi Non Steroid, Antipirai) </t>
  </si>
  <si>
    <t xml:space="preserve">False Positive Copilot (Analgesik, Antipiretik, Antiinflamasi Non Steroid, Antipirai) </t>
  </si>
  <si>
    <t xml:space="preserve">False Negative Copilot (Analgesik, Antipiretik, Antiinflamasi Non Steroid, Antipirai) </t>
  </si>
  <si>
    <t xml:space="preserve">True Positive Gemini (Analgesik, Antipiretik, Antiinflamasi Non Steroid, Antipirai) </t>
  </si>
  <si>
    <t xml:space="preserve">True Negative Gemini (Analgesik, Antipiretik, Antiinflamasi Non Steroid, Antipirai) </t>
  </si>
  <si>
    <t xml:space="preserve">False Positive Gemini (Analgesik, Antipiretik, Antiinflamasi Non Steroid, Antipirai) </t>
  </si>
  <si>
    <t xml:space="preserve">False Negative Gemini (Analgesik, Antipiretik, Antiinflamasi Non Steroid, Antipirai) </t>
  </si>
  <si>
    <t xml:space="preserve">True Positive ChatGPT-4o Mini (Hormon, Obat Endokrin Lain dan Kontrasepsi) </t>
  </si>
  <si>
    <t xml:space="preserve">True Negative ChatGPT-4o Mini (Hormon, Obat Endokrin Lain dan Kontrasepsi) </t>
  </si>
  <si>
    <t xml:space="preserve">False Positive ChatGPT-4o Mini (Hormon, Obat Endokrin Lain dan Kontrasepsi) </t>
  </si>
  <si>
    <t xml:space="preserve">False Negative ChatGPT-4o Mini (Hormon, Obat Endokrin Lain dan Kontrasepsi) </t>
  </si>
  <si>
    <t xml:space="preserve">True Positive Copilot (Hormon, Obat Endokrin Lain dan Kontrasepsi) </t>
  </si>
  <si>
    <t xml:space="preserve">True Negative Copilot (Hormon, Obat Endokrin Lain dan Kontrasepsi) </t>
  </si>
  <si>
    <t xml:space="preserve">False Positive Copilot (Hormon, Obat Endokrin Lain dan Kontrasepsi) </t>
  </si>
  <si>
    <t xml:space="preserve">False Negative Copilot (Hormon, Obat Endokrin Lain dan Kontrasepsi) </t>
  </si>
  <si>
    <t xml:space="preserve">True Positive Gemini (Hormon, Obat Endokrin Lain dan Kontrasepsi) </t>
  </si>
  <si>
    <t xml:space="preserve">True Negative Gemini (Hormon, Obat Endokrin Lain dan Kontrasepsi) </t>
  </si>
  <si>
    <t xml:space="preserve">False Positive Gemini (Hormon, Obat Endokrin Lain dan Kontrasepsi) </t>
  </si>
  <si>
    <t xml:space="preserve">False Negative Gemini (Hormon, Obat Endokrin Lain dan Kontrasepsi) </t>
  </si>
  <si>
    <t xml:space="preserve">True Positive ChatGPT-4o Mini (Obat untuk Saluran Napas) </t>
  </si>
  <si>
    <t xml:space="preserve">True Negative ChatGPT-4o Mini (Obat untuk Saluran Napas) </t>
  </si>
  <si>
    <t xml:space="preserve">False Positive ChatGPT-4o Mini (Obat untuk Saluran Napas) </t>
  </si>
  <si>
    <t xml:space="preserve">False Negative ChatGPT-4o Mini (Obat untuk Saluran Napas) </t>
  </si>
  <si>
    <t xml:space="preserve">True Positive Copilot (Obat untuk Saluran Napas) </t>
  </si>
  <si>
    <t xml:space="preserve">True Negative Copilot (Obat untuk Saluran Napas) </t>
  </si>
  <si>
    <t xml:space="preserve">False Positive Copilot (Obat untuk Saluran Napas) </t>
  </si>
  <si>
    <t xml:space="preserve">False Negative Copilot (Obat untuk Saluran Napas) </t>
  </si>
  <si>
    <t xml:space="preserve">True Positive Gemini (Obat untuk Saluran Napas) </t>
  </si>
  <si>
    <t xml:space="preserve">True Negative Gemini (Obat untuk Saluran Napas) </t>
  </si>
  <si>
    <t xml:space="preserve">False Positive Gemini (Obat untuk Saluran Napas) </t>
  </si>
  <si>
    <t xml:space="preserve">False Negative Gemini (Obat untuk Saluran Napas) </t>
  </si>
  <si>
    <t xml:space="preserve">True Positive ChatGPT-4o Mini (Antiepilepsi - Antikonvulsi) </t>
  </si>
  <si>
    <t xml:space="preserve">True Negative ChatGPT-4o Mini (Antiepilepsi - Antikonvulsi) </t>
  </si>
  <si>
    <t xml:space="preserve">False Positive ChatGPT-4o Mini (Antiepilepsi - Antikonvulsi) </t>
  </si>
  <si>
    <t xml:space="preserve">False Negative ChatGPT-4o Mini (Antiepilepsi - Antikonvulsi) </t>
  </si>
  <si>
    <t xml:space="preserve">True Positive Copilot (Antiepilepsi - Antikonvulsi) </t>
  </si>
  <si>
    <t xml:space="preserve">True Negative Copilot (Antiepilepsi - Antikonvulsi) </t>
  </si>
  <si>
    <t xml:space="preserve">False Positive Copilot (Antiepilepsi - Antikonvulsi) </t>
  </si>
  <si>
    <t xml:space="preserve">False Negative Copilot (Antiepilepsi - Antikonvulsii) </t>
  </si>
  <si>
    <t xml:space="preserve">True Positive Gemini (Antiepilepsi - Antikonvulsi) </t>
  </si>
  <si>
    <t xml:space="preserve">True Negative Gemini (Antiepilepsi - Antikonvulsi) </t>
  </si>
  <si>
    <t xml:space="preserve">False Positive Gemini (Antiepilepsi - Antikonvulsi) </t>
  </si>
  <si>
    <t xml:space="preserve">False Negative Gemini (Antiepilepsi - Antikonvulsi) </t>
  </si>
  <si>
    <t xml:space="preserve">True Positive ChatGPT-4o Mini (Antialergi dan Obat untuk Anafilaksis) </t>
  </si>
  <si>
    <t xml:space="preserve">True Negative ChatGPT-4o Mini (Antialergi dan Obat untuk Anafilaksis) </t>
  </si>
  <si>
    <t xml:space="preserve">False Positive ChatGPT-4o Mini (Antialergi dan Obat untuk Anafilaksis) </t>
  </si>
  <si>
    <t xml:space="preserve">False Negative ChatGPT-4o Mini (Antialergi dan Obat untuk Anafilaksis) </t>
  </si>
  <si>
    <t xml:space="preserve">True Positive Copilot (Antialergi dan Obat untuk Anafilaksis) </t>
  </si>
  <si>
    <t xml:space="preserve">True Negative Copilot (Antialergi dan Obat untuk Anafilaksis) </t>
  </si>
  <si>
    <t xml:space="preserve">False Positive Copilot (Antialergi dan Obat untuk Anafilaksis) </t>
  </si>
  <si>
    <t xml:space="preserve">False Negative Copilot (Antialergi dan Obat untuk Anafilaksis) </t>
  </si>
  <si>
    <t xml:space="preserve">True Positive Gemini (Antialergi dan Obat untuk Anafilaksis) </t>
  </si>
  <si>
    <t xml:space="preserve">True Negative Gemini (Antialergi dan Obat untuk Anafilaksis) </t>
  </si>
  <si>
    <t xml:space="preserve">False Positive Gemini (Antialergi dan Obat untuk Anafilaksis) </t>
  </si>
  <si>
    <t xml:space="preserve">False Negative Gemini (Antialergi dan Obat untuk Anafilaksis) </t>
  </si>
  <si>
    <t xml:space="preserve">True Positive ChatGPT-4o Mini (Relaksan Otot Perifer dan Penghambat Kolinesterase) </t>
  </si>
  <si>
    <t xml:space="preserve">True Negative ChatGPT-4o Mini (Relaksan Otot Perifer dan Penghambat Kolinesterase) </t>
  </si>
  <si>
    <t xml:space="preserve">False Positive ChatGPT-4o Mini (Relaksan Otot Perifer dan Penghambat Kolinesterase) </t>
  </si>
  <si>
    <t xml:space="preserve">False Negative ChatGPT-4o Mini (Relaksan Otot Perifer dan Penghambat Kolinesterase) </t>
  </si>
  <si>
    <t xml:space="preserve">True Positive Copilot (Relaksan Otot Perifer dan Penghambat Kolinesterase) </t>
  </si>
  <si>
    <t xml:space="preserve">True Negative Copilot (Relaksan Otot Perifer dan Penghambat Kolinesterase) </t>
  </si>
  <si>
    <t xml:space="preserve">False Positive Copilot (Relaksan Otot Perifer dan Penghambat Kolinesterase) </t>
  </si>
  <si>
    <t xml:space="preserve">False Negative Copilot (Relaksan Otot Perifer dan Penghambat Kolinesterase) </t>
  </si>
  <si>
    <t xml:space="preserve">True Positive Gemini (Relaksan Otot Perifer dan Penghambat Kolinesterase) </t>
  </si>
  <si>
    <t xml:space="preserve">True Negative Gemini (Relaksan Otot Perifer dan Penghambat Kolinesterase) </t>
  </si>
  <si>
    <t xml:space="preserve">False Positive Gemini (Relaksan Otot Perifer dan Penghambat Kolinesterase) </t>
  </si>
  <si>
    <t xml:space="preserve">False Negative Gemini (Relaksan Otot Perifer dan Penghambat Kolinesterase) </t>
  </si>
  <si>
    <t xml:space="preserve">True Positive ChatGPT-4o Mini (Vitamin dan Mineral) </t>
  </si>
  <si>
    <t xml:space="preserve">True Negative ChatGPT-4o Mini (Vitamin dan Mineral) </t>
  </si>
  <si>
    <t xml:space="preserve">False Positive ChatGPT-4o Mini (Vitamin dan Mineral) </t>
  </si>
  <si>
    <t xml:space="preserve">False Negative ChatGPT-4o Mini (Vitamin dan Mineral) </t>
  </si>
  <si>
    <t xml:space="preserve">True Positive Copilot (Vitamin dan Mineral) </t>
  </si>
  <si>
    <t xml:space="preserve">True Negative Copilot (Vitamin dan Mineral) </t>
  </si>
  <si>
    <t xml:space="preserve">False Positive Copilot (Vitamin dan Mineral) </t>
  </si>
  <si>
    <t xml:space="preserve">False Negative Copilot (Vitamin dan Mineral) </t>
  </si>
  <si>
    <t xml:space="preserve">True Positive Gemini (Vitamin dan Mineral) </t>
  </si>
  <si>
    <t xml:space="preserve">True Negative Gemini (Vitamin dan Mineral) </t>
  </si>
  <si>
    <t xml:space="preserve">False Positive Gemini (Vitamin dan Mineral) </t>
  </si>
  <si>
    <t xml:space="preserve">False Negative Gemini (Vitamin dan Mineral) </t>
  </si>
  <si>
    <t xml:space="preserve">True Positive ChatGPT-4o Mini (Obat Topikal untuk Kulit) </t>
  </si>
  <si>
    <t xml:space="preserve">True Negative ChatGPT-4o Mini (Obat Topikal untuk Kulit) </t>
  </si>
  <si>
    <t xml:space="preserve">False Positive ChatGPT-4o Mini (Obat Topikal untuk Kulit) </t>
  </si>
  <si>
    <t xml:space="preserve">False Negative ChatGPT-4o Mini (Obat Topikal untuk Kulit) </t>
  </si>
  <si>
    <t xml:space="preserve">True Positive Copilot (Obat Topikal untuk Kulit) </t>
  </si>
  <si>
    <t xml:space="preserve">True Negative Copilot (Obat Topikal untuk Kulit) </t>
  </si>
  <si>
    <t xml:space="preserve">False Positive Copilot (Obat Topikal untuk Kulit) </t>
  </si>
  <si>
    <t xml:space="preserve">False Negative Copilot (Obat Topikal untuk Kulit) </t>
  </si>
  <si>
    <t xml:space="preserve">True Positive Gemini (Obat Topikal untuk Kulit) </t>
  </si>
  <si>
    <t xml:space="preserve">True Negative Gemini (Obat Topikal untuk Kulit) </t>
  </si>
  <si>
    <t xml:space="preserve">False Positive Gemini (Obat Topikal untuk Kulit) </t>
  </si>
  <si>
    <t xml:space="preserve">False Negative Gemini (Obat Topikal untuk Kulit) </t>
  </si>
  <si>
    <t xml:space="preserve">True Positive ChatGPT-4o Mini (Antimigren dan Antivertigo) </t>
  </si>
  <si>
    <t xml:space="preserve">True Negative ChatGPT-4o Mini (Antimigren dan Antivertigo) </t>
  </si>
  <si>
    <t xml:space="preserve">False Positive ChatGPT-4o Mini (Antimigren dan Antivertigo) </t>
  </si>
  <si>
    <t xml:space="preserve">False Negative ChatGPT-4o Mini (Antimigren dan Antivertigo) </t>
  </si>
  <si>
    <t xml:space="preserve">True Positive Copilot (Antimigren dan Antivertigo) </t>
  </si>
  <si>
    <t xml:space="preserve">True Negative Copilot (Antimigren dan Antivertigo) </t>
  </si>
  <si>
    <t xml:space="preserve">False Positive Copilot (Antimigren dan Antivertigo) </t>
  </si>
  <si>
    <t xml:space="preserve">False Negative Copilot (Antimigren dan Antivertigo) </t>
  </si>
  <si>
    <t xml:space="preserve">True Positive Gemini (Antimigren dan Antivertigo) </t>
  </si>
  <si>
    <t xml:space="preserve">True Negative Gemini (Antimigren dan Antivertigo) </t>
  </si>
  <si>
    <t xml:space="preserve">False Positive Gemini (Antimigren dan Antivertigo) </t>
  </si>
  <si>
    <t xml:space="preserve">False Negative Gemini (Antimigren dan Antivertigo) </t>
  </si>
  <si>
    <t xml:space="preserve">True Positive ChatGPT-4o Mini (Obat yang Memengaruhi Darah) </t>
  </si>
  <si>
    <t xml:space="preserve">True Negative ChatGPT-4o Mini (Obat yang Memengaruhi Darah) </t>
  </si>
  <si>
    <t xml:space="preserve">False Positive ChatGPT-4o Mini (Obat yang Memengaruhi Darah) </t>
  </si>
  <si>
    <t xml:space="preserve">False Negative ChatGPT-4o Mini (Obat yang Memengaruhi Darah) </t>
  </si>
  <si>
    <t xml:space="preserve">True Positive Copilot (Obat yang Memengaruhi Darah) </t>
  </si>
  <si>
    <t xml:space="preserve">True Negative Copilot (Obat yang Memengaruhi Darah) </t>
  </si>
  <si>
    <t xml:space="preserve">False Positive Copilot (Obat yang Memengaruhi Darah) </t>
  </si>
  <si>
    <t xml:space="preserve">False Negative Copilot (Obat yang Memengaruhi Darah) </t>
  </si>
  <si>
    <t xml:space="preserve">True Positive Gemini (Obat yang Memengaruhi Darah) </t>
  </si>
  <si>
    <t xml:space="preserve">True Negative Gemini (Obat yang Memengaruhi Darah) </t>
  </si>
  <si>
    <t xml:space="preserve">False Positive Gemini (Obat yang Memengaruhi Darah) </t>
  </si>
  <si>
    <t xml:space="preserve">False Negative Gemini (Obat yang Memengaruhi Darah) </t>
  </si>
  <si>
    <t>Actual Positive</t>
  </si>
  <si>
    <t>Actual Negative</t>
  </si>
  <si>
    <t>Total</t>
  </si>
  <si>
    <t>Predicted Positive</t>
  </si>
  <si>
    <t>Predicted Negative</t>
  </si>
  <si>
    <t>ChatGPT-4o Mini (Digoksin)</t>
  </si>
  <si>
    <t>Copilot (Digoksin)</t>
  </si>
  <si>
    <t>Gemini (Digoksin)</t>
  </si>
  <si>
    <t>ChatGPT-4o Mini (Warfarin)</t>
  </si>
  <si>
    <t>Copilot (Warfarin)</t>
  </si>
  <si>
    <t>Gemini (Warfarin)</t>
  </si>
  <si>
    <t>OBAT KARDIOVASKULAR</t>
  </si>
  <si>
    <t>ANTIINFEKSI</t>
  </si>
  <si>
    <t>ANTINEOPLASTIK DAN IMUNOMODULATOR</t>
  </si>
  <si>
    <t>OBAT UNTUK SALURAN CERNA</t>
  </si>
  <si>
    <t>PSIKOFARMAKA</t>
  </si>
  <si>
    <t>ANALGESIK, ANTIPIRETIK, ANTIINFLAMASI NON STEROID, ANTIPIRAI</t>
  </si>
  <si>
    <t>HORMON, OBAT ENDOKRIN LAIN DAN KONTRASEPSI</t>
  </si>
  <si>
    <t>OBAT UNTUK SALURAN NAPAS</t>
  </si>
  <si>
    <t>ANTIEPILEPSI - ANTIKONVULSI</t>
  </si>
  <si>
    <t>ANTIALERGI DAN OBAT UNTUK ANAFILAKSIS</t>
  </si>
  <si>
    <t>RELAKSAN OTOT PERIFER DAN PENGHAMBAT KOLINESTERASE</t>
  </si>
  <si>
    <t>VITAMIN DAN MINERAL</t>
  </si>
  <si>
    <t>OBAT TOPIKAL UNTUK KULIT</t>
  </si>
  <si>
    <t>ANTIMIGREN DAN ANTIVERTIGO</t>
  </si>
  <si>
    <t>OBAT YANG MEMENGARUHI DARAH</t>
  </si>
  <si>
    <t>Obat Kardiovaskular (ChatGPT-4o Mini)</t>
  </si>
  <si>
    <t>Obat Kardiovaskular (Copilot)</t>
  </si>
  <si>
    <t>Obat Kardiovaskular (Gemini)</t>
  </si>
  <si>
    <t>Antiinfeksi (ChatGPT-4o Mini)</t>
  </si>
  <si>
    <t>Antiinfeksi (Copilot)</t>
  </si>
  <si>
    <t>Antiinfeksi (Gemini)</t>
  </si>
  <si>
    <t>Antineoplastik dan Imunomodulator (ChatGPT-4o Mini)</t>
  </si>
  <si>
    <t>Antineoplastik dan Imunomodulator (Copilot)</t>
  </si>
  <si>
    <t>Antineoplastik dan Imunomodulator (Gemini)</t>
  </si>
  <si>
    <t>Obat untuk Saluran Cerna (ChatGPT-4o Mini)</t>
  </si>
  <si>
    <t>Obat untuk Saluran Cerna (Copilot)</t>
  </si>
  <si>
    <t>Obat untuk Saluran Cerna (Gemini)</t>
  </si>
  <si>
    <t>Psikofarmaka (ChatGPT-4o Mini)</t>
  </si>
  <si>
    <t>Psikofarmaka (Copilot)</t>
  </si>
  <si>
    <t>Psikofarmaka (Gemini)</t>
  </si>
  <si>
    <t>Analgesik, Antipiretik, Antiinflamasi Non Steroid, Antipirai (ChatGPT-4o Mini)</t>
  </si>
  <si>
    <t>Hormon, Obat Endokrin Lain dan Kontrasepsi (ChatGPT-4o Mini)</t>
  </si>
  <si>
    <t>Hormon, Obat Endokrin Lain dan Kontrasepsi (Copilot)</t>
  </si>
  <si>
    <t>Hormon, Obat Endokrin Lain dan Kontrasepsi (Gemini)</t>
  </si>
  <si>
    <t>Obat untuk Saluran Napas (ChatGPT-4o Mini)</t>
  </si>
  <si>
    <t>Obat untuk Saluran Napas (Copilot)</t>
  </si>
  <si>
    <t>Obat untuk Saluran Napas (Gemini)</t>
  </si>
  <si>
    <t>Antiepilepsi - Antikonvulsi (ChatGPT-4o Mini)</t>
  </si>
  <si>
    <t>Antiepilepsi - Antikonvulsi (Copilot)</t>
  </si>
  <si>
    <t>Antiepilepsi - Antikonvulsi (Gemini)</t>
  </si>
  <si>
    <t>Antialergi dan Obat untuk Anafilaksis (ChatGPT-4o Mini)</t>
  </si>
  <si>
    <t>Antialergi dan Obat untuk Anafilaksis (Copilot)</t>
  </si>
  <si>
    <t>Antialergi dan Obat untuk Anafilaksis (Gemini)</t>
  </si>
  <si>
    <t>Relaksan Otot Perifer dan Penghambat Kolinesterase (ChatGPT-4o Mini)</t>
  </si>
  <si>
    <t>Relaksan Otot Perifer dan Penghambat Kolinesterase (Copilot)</t>
  </si>
  <si>
    <t>Relaksan Otot Perifer dan Penghambat Kolinesterase (Gemini)</t>
  </si>
  <si>
    <t>Vitamin dan Mineral (ChatGPT-4o Mini)</t>
  </si>
  <si>
    <t>Vitamin dan Mineral (Copilot)</t>
  </si>
  <si>
    <t>Analgesik, Antipiretik, Antiinflamasi Non Steroid, Antipirai (Gemini)</t>
  </si>
  <si>
    <t>Analgesik, Antipiretik, Antiinflamasi Non Steroid, Antipirai (Copilot)</t>
  </si>
  <si>
    <t>Vitamin dan Mineral (Gemini)</t>
  </si>
  <si>
    <t>Obat Topikal untuk Kulit (ChatGPT-4o Mini)</t>
  </si>
  <si>
    <t>Obat Topikal untuk Kulit (Copilot)</t>
  </si>
  <si>
    <t>Obat Topikal untuk Kulit (Gemini)</t>
  </si>
  <si>
    <t>Antimigren dan Antivertigo (ChatGPT-4o Mini)</t>
  </si>
  <si>
    <t>Antimigren dan Antivertigo (Copilot)</t>
  </si>
  <si>
    <t>Antimigren dan Antivertigo (Gemini)</t>
  </si>
  <si>
    <t>Obat yang Memengaruhi Darah (ChatGPT-4o Mini)</t>
  </si>
  <si>
    <t>Obat yang Memengaruhi Darah (Copilot)</t>
  </si>
  <si>
    <t>Obat yang Memengaruhi Darah (Gemini)</t>
  </si>
  <si>
    <t xml:space="preserve">Gemini </t>
  </si>
  <si>
    <t>No Known Interaction = 3</t>
  </si>
  <si>
    <t>Minor = 15</t>
  </si>
  <si>
    <t>Moderate = 24</t>
  </si>
  <si>
    <t>Major = 7</t>
  </si>
  <si>
    <t>No Known Interaction = 1</t>
  </si>
  <si>
    <t>Minor = 11</t>
  </si>
  <si>
    <t>Moderate = 23</t>
  </si>
  <si>
    <t>Major = 14</t>
  </si>
  <si>
    <t>No Known Interaction = 0</t>
  </si>
  <si>
    <t>Minor = 10</t>
  </si>
  <si>
    <t>Moderate = 27</t>
  </si>
  <si>
    <t>Major = 12</t>
  </si>
  <si>
    <t>WARFARIN = 163</t>
  </si>
  <si>
    <t>DIGOKSIN = 49</t>
  </si>
  <si>
    <t>No Known Interaction = 12</t>
  </si>
  <si>
    <t>Minor = 65</t>
  </si>
  <si>
    <t>Moderate = 72</t>
  </si>
  <si>
    <t>No Known Interaction = 7</t>
  </si>
  <si>
    <t>Minor = 24</t>
  </si>
  <si>
    <t>Moderate = 81</t>
  </si>
  <si>
    <t>Major = 51</t>
  </si>
  <si>
    <t>No Known Interaction = 6</t>
  </si>
  <si>
    <t>Minor = 32</t>
  </si>
  <si>
    <t>Moderate = 91</t>
  </si>
  <si>
    <t>Major = 34</t>
  </si>
  <si>
    <t>TOTAL = 212</t>
  </si>
  <si>
    <t>No Known Interaction = 15</t>
  </si>
  <si>
    <t>Minor = 80</t>
  </si>
  <si>
    <t>Moderate = 96</t>
  </si>
  <si>
    <t>Major = 21</t>
  </si>
  <si>
    <t>No Known Interaction = 8</t>
  </si>
  <si>
    <t>Minor = 35</t>
  </si>
  <si>
    <t>Moderate = 104</t>
  </si>
  <si>
    <t>Major = 65</t>
  </si>
  <si>
    <t>Minor = 42</t>
  </si>
  <si>
    <t>Moderate = 118</t>
  </si>
  <si>
    <t>Major =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</si>
</sst>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CC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wrapText="1"/>
    </xf>
    <xf numFmtId="0" fontId="0" fillId="4" borderId="0" xfId="0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wrapText="1"/>
    </xf>
    <xf numFmtId="0" fontId="0" fillId="5" borderId="0" xfId="0" applyFill="1"/>
    <xf numFmtId="0" fontId="2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6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6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6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6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64" fontId="2" fillId="9" borderId="4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64" fontId="2" fillId="8" borderId="4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64" fontId="2" fillId="10" borderId="4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164" fontId="2" fillId="12" borderId="4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64" fontId="2" fillId="11" borderId="4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64" fontId="2" fillId="13" borderId="4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164" fontId="2" fillId="14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64" fontId="2" fillId="6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2" fillId="15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left" vertical="center"/>
    </xf>
    <xf numFmtId="0" fontId="2" fillId="6" borderId="15" xfId="0" applyFont="1" applyFill="1" applyBorder="1" applyAlignment="1">
      <alignment horizontal="left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0" fillId="6" borderId="0" xfId="0" applyFill="1"/>
    <xf numFmtId="0" fontId="2" fillId="4" borderId="1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0" fillId="7" borderId="0" xfId="0" applyFill="1"/>
    <xf numFmtId="0" fontId="2" fillId="8" borderId="14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/>
    </xf>
    <xf numFmtId="0" fontId="2" fillId="8" borderId="15" xfId="0" applyFont="1" applyFill="1" applyBorder="1" applyAlignment="1">
      <alignment horizontal="left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0" fillId="8" borderId="0" xfId="0" applyFill="1"/>
    <xf numFmtId="0" fontId="2" fillId="9" borderId="14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left" vertical="center"/>
    </xf>
    <xf numFmtId="0" fontId="2" fillId="9" borderId="15" xfId="0" applyFont="1" applyFill="1" applyBorder="1" applyAlignment="1">
      <alignment horizontal="left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0" fillId="9" borderId="0" xfId="0" applyFill="1"/>
    <xf numFmtId="0" fontId="2" fillId="10" borderId="14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left" vertical="center"/>
    </xf>
    <xf numFmtId="0" fontId="2" fillId="10" borderId="15" xfId="0" applyFont="1" applyFill="1" applyBorder="1" applyAlignment="1">
      <alignment horizontal="left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0" fillId="10" borderId="0" xfId="0" applyFill="1"/>
    <xf numFmtId="0" fontId="2" fillId="12" borderId="14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left" vertical="center"/>
    </xf>
    <xf numFmtId="0" fontId="2" fillId="12" borderId="15" xfId="0" applyFont="1" applyFill="1" applyBorder="1" applyAlignment="1">
      <alignment horizontal="left" vertical="center"/>
    </xf>
    <xf numFmtId="0" fontId="2" fillId="12" borderId="16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0" fillId="12" borderId="0" xfId="0" applyFill="1"/>
    <xf numFmtId="0" fontId="2" fillId="11" borderId="14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left" vertical="center"/>
    </xf>
    <xf numFmtId="0" fontId="2" fillId="11" borderId="15" xfId="0" applyFont="1" applyFill="1" applyBorder="1" applyAlignment="1">
      <alignment horizontal="left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0" fillId="11" borderId="0" xfId="0" applyFill="1"/>
    <xf numFmtId="0" fontId="2" fillId="3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left" vertical="center"/>
    </xf>
    <xf numFmtId="0" fontId="2" fillId="13" borderId="15" xfId="0" applyFont="1" applyFill="1" applyBorder="1" applyAlignment="1">
      <alignment horizontal="left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0" fillId="13" borderId="0" xfId="0" applyFill="1"/>
    <xf numFmtId="0" fontId="2" fillId="14" borderId="14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left" vertical="center"/>
    </xf>
    <xf numFmtId="0" fontId="2" fillId="14" borderId="15" xfId="0" applyFont="1" applyFill="1" applyBorder="1" applyAlignment="1">
      <alignment horizontal="left" vertical="center"/>
    </xf>
    <xf numFmtId="0" fontId="2" fillId="14" borderId="16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0" fillId="14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left" vertical="center"/>
    </xf>
    <xf numFmtId="0" fontId="2" fillId="10" borderId="18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" fillId="16" borderId="18" xfId="0" applyFont="1" applyFill="1" applyBorder="1" applyAlignment="1">
      <alignment horizontal="left" vertical="center"/>
    </xf>
    <xf numFmtId="0" fontId="2" fillId="16" borderId="6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  <xf numFmtId="0" fontId="7" fillId="14" borderId="11" xfId="0" applyFont="1" applyFill="1" applyBorder="1" applyAlignment="1">
      <alignment horizontal="center"/>
    </xf>
    <xf numFmtId="0" fontId="7" fillId="14" borderId="12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4" fillId="12" borderId="10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/>
    </xf>
    <xf numFmtId="0" fontId="7" fillId="11" borderId="1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4" fillId="13" borderId="10" xfId="0" applyFont="1" applyFill="1" applyBorder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7" fillId="13" borderId="12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9" xfId="0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00FF00"/>
      <color rgb="FFCCFFFF"/>
      <color rgb="FF66FFFF"/>
      <color rgb="FFCCFF99"/>
      <color rgb="FF99FF33"/>
      <color rgb="FFFFFF66"/>
      <color rgb="FFFF7C80"/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735A-6410-4C76-AEFB-DA2EE1C66AE5}">
  <dimension ref="A1:H256"/>
  <sheetViews>
    <sheetView zoomScale="50" zoomScaleNormal="50" workbookViewId="0">
      <selection activeCell="H7" sqref="H7:H25"/>
    </sheetView>
  </sheetViews>
  <sheetFormatPr defaultRowHeight="15.6" x14ac:dyDescent="0.3"/>
  <cols>
    <col min="1" max="1" width="4.21875" style="4" bestFit="1" customWidth="1"/>
    <col min="2" max="2" width="31.6640625" style="2" bestFit="1" customWidth="1"/>
    <col min="3" max="3" width="30.77734375" style="4" bestFit="1" customWidth="1"/>
    <col min="4" max="4" width="28.5546875" style="4" customWidth="1"/>
    <col min="5" max="5" width="13.33203125" style="4" customWidth="1"/>
    <col min="6" max="6" width="17.44140625" style="211" customWidth="1"/>
    <col min="7" max="7" width="8.88671875" customWidth="1"/>
    <col min="8" max="8" width="54.5546875" bestFit="1" customWidth="1"/>
  </cols>
  <sheetData>
    <row r="1" spans="1:8" x14ac:dyDescent="0.3">
      <c r="A1" s="4" t="s">
        <v>15</v>
      </c>
      <c r="B1" s="4" t="s">
        <v>6</v>
      </c>
      <c r="C1" s="4" t="s">
        <v>7</v>
      </c>
      <c r="D1" s="4" t="s">
        <v>233</v>
      </c>
      <c r="E1" s="4" t="s">
        <v>8</v>
      </c>
      <c r="F1" s="4" t="s">
        <v>536</v>
      </c>
      <c r="G1" s="5"/>
      <c r="H1" s="5" t="s">
        <v>16</v>
      </c>
    </row>
    <row r="2" spans="1:8" x14ac:dyDescent="0.3">
      <c r="A2" s="4">
        <v>1</v>
      </c>
      <c r="B2" s="3" t="s">
        <v>21</v>
      </c>
      <c r="C2" s="4">
        <v>4</v>
      </c>
      <c r="D2" s="4">
        <v>4</v>
      </c>
      <c r="E2" s="4">
        <v>4</v>
      </c>
      <c r="F2" s="4">
        <v>4</v>
      </c>
      <c r="G2" s="6"/>
      <c r="H2" s="6" t="s">
        <v>20</v>
      </c>
    </row>
    <row r="3" spans="1:8" x14ac:dyDescent="0.3">
      <c r="A3" s="4">
        <v>2</v>
      </c>
      <c r="B3" s="3" t="s">
        <v>22</v>
      </c>
      <c r="C3" s="4">
        <v>3</v>
      </c>
      <c r="D3" s="4">
        <v>2</v>
      </c>
      <c r="E3" s="4">
        <v>3</v>
      </c>
      <c r="F3" s="4">
        <v>3</v>
      </c>
      <c r="G3" s="5"/>
      <c r="H3" s="5" t="s">
        <v>17</v>
      </c>
    </row>
    <row r="4" spans="1:8" x14ac:dyDescent="0.3">
      <c r="A4" s="4">
        <v>3</v>
      </c>
      <c r="B4" s="3" t="s">
        <v>23</v>
      </c>
      <c r="C4" s="4">
        <v>1</v>
      </c>
      <c r="D4" s="4">
        <v>3</v>
      </c>
      <c r="E4" s="4">
        <v>3</v>
      </c>
      <c r="F4" s="4">
        <v>2</v>
      </c>
      <c r="G4" s="5"/>
      <c r="H4" s="5" t="s">
        <v>18</v>
      </c>
    </row>
    <row r="5" spans="1:8" x14ac:dyDescent="0.3">
      <c r="A5" s="4">
        <v>4</v>
      </c>
      <c r="B5" s="3" t="s">
        <v>24</v>
      </c>
      <c r="C5" s="4">
        <v>3</v>
      </c>
      <c r="D5" s="4">
        <v>3</v>
      </c>
      <c r="E5" s="4">
        <v>3</v>
      </c>
      <c r="F5" s="211">
        <v>3</v>
      </c>
      <c r="G5" s="5"/>
      <c r="H5" s="5" t="s">
        <v>19</v>
      </c>
    </row>
    <row r="6" spans="1:8" ht="16.2" thickBot="1" x14ac:dyDescent="0.35">
      <c r="A6" s="4">
        <v>5</v>
      </c>
      <c r="B6" s="3" t="s">
        <v>25</v>
      </c>
      <c r="C6" s="4">
        <v>3</v>
      </c>
      <c r="D6" s="4">
        <v>3</v>
      </c>
      <c r="E6" s="4">
        <v>3</v>
      </c>
      <c r="F6" s="211">
        <v>3</v>
      </c>
    </row>
    <row r="7" spans="1:8" ht="16.2" thickBot="1" x14ac:dyDescent="0.35">
      <c r="A7" s="4">
        <v>6</v>
      </c>
      <c r="B7" s="3" t="s">
        <v>26</v>
      </c>
      <c r="C7" s="4">
        <v>3</v>
      </c>
      <c r="D7" s="4">
        <v>4</v>
      </c>
      <c r="E7" s="4">
        <v>4</v>
      </c>
      <c r="F7" s="211">
        <v>4</v>
      </c>
      <c r="H7" s="215" t="s">
        <v>233</v>
      </c>
    </row>
    <row r="8" spans="1:8" x14ac:dyDescent="0.3">
      <c r="A8" s="4">
        <v>7</v>
      </c>
      <c r="B8" s="3" t="s">
        <v>27</v>
      </c>
      <c r="C8" s="4">
        <v>1</v>
      </c>
      <c r="D8" s="4">
        <v>2</v>
      </c>
      <c r="E8" s="4">
        <v>3</v>
      </c>
      <c r="F8" s="211">
        <v>3</v>
      </c>
      <c r="H8" s="214" t="s">
        <v>537</v>
      </c>
    </row>
    <row r="9" spans="1:8" x14ac:dyDescent="0.3">
      <c r="A9" s="4">
        <v>8</v>
      </c>
      <c r="B9" s="3" t="s">
        <v>28</v>
      </c>
      <c r="C9" s="4">
        <v>2</v>
      </c>
      <c r="D9" s="4">
        <v>2</v>
      </c>
      <c r="E9" s="4">
        <v>2</v>
      </c>
      <c r="F9" s="211">
        <v>3</v>
      </c>
      <c r="H9" s="213" t="s">
        <v>538</v>
      </c>
    </row>
    <row r="10" spans="1:8" x14ac:dyDescent="0.3">
      <c r="A10" s="4">
        <v>9</v>
      </c>
      <c r="B10" s="3" t="s">
        <v>29</v>
      </c>
      <c r="C10" s="4">
        <v>3</v>
      </c>
      <c r="D10" s="4">
        <v>1</v>
      </c>
      <c r="E10" s="4">
        <v>2</v>
      </c>
      <c r="F10" s="211">
        <v>3</v>
      </c>
      <c r="H10" s="213" t="s">
        <v>539</v>
      </c>
    </row>
    <row r="11" spans="1:8" x14ac:dyDescent="0.3">
      <c r="A11" s="4">
        <v>10</v>
      </c>
      <c r="B11" s="3" t="s">
        <v>30</v>
      </c>
      <c r="C11" s="4">
        <v>3</v>
      </c>
      <c r="D11" s="4">
        <v>2</v>
      </c>
      <c r="E11" s="4">
        <v>2</v>
      </c>
      <c r="F11" s="211">
        <v>3</v>
      </c>
      <c r="H11" s="213" t="s">
        <v>540</v>
      </c>
    </row>
    <row r="12" spans="1:8" x14ac:dyDescent="0.3">
      <c r="A12" s="4">
        <v>11</v>
      </c>
      <c r="B12" s="3" t="s">
        <v>31</v>
      </c>
      <c r="C12" s="4">
        <v>3</v>
      </c>
      <c r="D12" s="4">
        <v>3</v>
      </c>
      <c r="E12" s="4">
        <v>2</v>
      </c>
      <c r="F12" s="211">
        <v>2</v>
      </c>
    </row>
    <row r="13" spans="1:8" ht="16.2" thickBot="1" x14ac:dyDescent="0.35">
      <c r="A13" s="4">
        <v>12</v>
      </c>
      <c r="B13" s="3" t="s">
        <v>32</v>
      </c>
      <c r="C13" s="4">
        <v>3</v>
      </c>
      <c r="D13" s="4">
        <v>3</v>
      </c>
      <c r="E13" s="4">
        <v>2</v>
      </c>
      <c r="F13" s="211">
        <v>3</v>
      </c>
    </row>
    <row r="14" spans="1:8" ht="16.2" thickBot="1" x14ac:dyDescent="0.35">
      <c r="A14" s="4">
        <v>13</v>
      </c>
      <c r="B14" s="3" t="s">
        <v>33</v>
      </c>
      <c r="C14" s="4">
        <v>3</v>
      </c>
      <c r="D14" s="4">
        <v>2</v>
      </c>
      <c r="E14" s="4">
        <v>3</v>
      </c>
      <c r="F14" s="211">
        <v>3</v>
      </c>
      <c r="H14" s="218" t="s">
        <v>8</v>
      </c>
    </row>
    <row r="15" spans="1:8" x14ac:dyDescent="0.3">
      <c r="A15" s="4">
        <v>14</v>
      </c>
      <c r="B15" s="3" t="s">
        <v>34</v>
      </c>
      <c r="C15" s="4">
        <v>3</v>
      </c>
      <c r="D15" s="4">
        <v>3</v>
      </c>
      <c r="E15" s="4">
        <v>4</v>
      </c>
      <c r="F15" s="211">
        <v>4</v>
      </c>
      <c r="H15" s="217" t="s">
        <v>541</v>
      </c>
    </row>
    <row r="16" spans="1:8" x14ac:dyDescent="0.3">
      <c r="A16" s="4">
        <v>15</v>
      </c>
      <c r="B16" s="3" t="s">
        <v>35</v>
      </c>
      <c r="C16" s="4">
        <v>3</v>
      </c>
      <c r="D16" s="4">
        <v>3</v>
      </c>
      <c r="E16" s="4">
        <v>4</v>
      </c>
      <c r="F16" s="211">
        <v>4</v>
      </c>
      <c r="H16" s="216" t="s">
        <v>542</v>
      </c>
    </row>
    <row r="17" spans="1:8" x14ac:dyDescent="0.3">
      <c r="A17" s="4">
        <v>16</v>
      </c>
      <c r="B17" s="3" t="s">
        <v>36</v>
      </c>
      <c r="C17" s="4">
        <v>4</v>
      </c>
      <c r="D17" s="4">
        <v>4</v>
      </c>
      <c r="E17" s="4">
        <v>4</v>
      </c>
      <c r="F17" s="211">
        <v>4</v>
      </c>
      <c r="H17" s="216" t="s">
        <v>543</v>
      </c>
    </row>
    <row r="18" spans="1:8" x14ac:dyDescent="0.3">
      <c r="A18" s="4">
        <v>17</v>
      </c>
      <c r="B18" s="3" t="s">
        <v>37</v>
      </c>
      <c r="C18" s="4">
        <v>1</v>
      </c>
      <c r="D18" s="4">
        <v>2</v>
      </c>
      <c r="E18" s="4">
        <v>4</v>
      </c>
      <c r="F18" s="211">
        <v>3</v>
      </c>
      <c r="H18" s="216" t="s">
        <v>544</v>
      </c>
    </row>
    <row r="19" spans="1:8" x14ac:dyDescent="0.3">
      <c r="A19" s="4">
        <v>18</v>
      </c>
      <c r="B19" s="3" t="s">
        <v>38</v>
      </c>
      <c r="C19" s="4">
        <v>3</v>
      </c>
      <c r="D19" s="4">
        <v>3</v>
      </c>
      <c r="E19" s="4">
        <v>4</v>
      </c>
      <c r="F19" s="211">
        <v>4</v>
      </c>
    </row>
    <row r="20" spans="1:8" ht="16.2" thickBot="1" x14ac:dyDescent="0.35">
      <c r="A20" s="4">
        <v>19</v>
      </c>
      <c r="B20" s="3" t="s">
        <v>39</v>
      </c>
      <c r="C20" s="4">
        <v>3</v>
      </c>
      <c r="D20" s="4">
        <v>2</v>
      </c>
      <c r="E20" s="4">
        <v>2</v>
      </c>
      <c r="F20" s="211">
        <v>3</v>
      </c>
    </row>
    <row r="21" spans="1:8" ht="16.2" thickBot="1" x14ac:dyDescent="0.35">
      <c r="A21" s="4">
        <v>20</v>
      </c>
      <c r="B21" s="3" t="s">
        <v>40</v>
      </c>
      <c r="C21" s="4">
        <v>3</v>
      </c>
      <c r="D21" s="4">
        <v>3</v>
      </c>
      <c r="E21" s="4">
        <v>3</v>
      </c>
      <c r="F21" s="211">
        <v>4</v>
      </c>
      <c r="H21" s="219" t="s">
        <v>9</v>
      </c>
    </row>
    <row r="22" spans="1:8" x14ac:dyDescent="0.3">
      <c r="A22" s="4">
        <v>21</v>
      </c>
      <c r="B22" s="3" t="s">
        <v>41</v>
      </c>
      <c r="C22" s="4">
        <v>3</v>
      </c>
      <c r="D22" s="4">
        <v>3</v>
      </c>
      <c r="E22" s="4">
        <v>4</v>
      </c>
      <c r="F22" s="211">
        <v>3</v>
      </c>
      <c r="H22" s="220" t="s">
        <v>545</v>
      </c>
    </row>
    <row r="23" spans="1:8" x14ac:dyDescent="0.3">
      <c r="A23" s="4">
        <v>22</v>
      </c>
      <c r="B23" s="3" t="s">
        <v>42</v>
      </c>
      <c r="C23" s="4">
        <v>3</v>
      </c>
      <c r="D23" s="4">
        <v>2</v>
      </c>
      <c r="E23" s="4">
        <v>3</v>
      </c>
      <c r="F23" s="211">
        <v>3</v>
      </c>
      <c r="H23" s="221" t="s">
        <v>546</v>
      </c>
    </row>
    <row r="24" spans="1:8" x14ac:dyDescent="0.3">
      <c r="A24" s="4">
        <v>23</v>
      </c>
      <c r="B24" s="3" t="s">
        <v>44</v>
      </c>
      <c r="C24" s="4">
        <v>2</v>
      </c>
      <c r="D24" s="4">
        <v>3</v>
      </c>
      <c r="E24" s="4">
        <v>4</v>
      </c>
      <c r="F24" s="211">
        <v>4</v>
      </c>
      <c r="H24" s="221" t="s">
        <v>547</v>
      </c>
    </row>
    <row r="25" spans="1:8" x14ac:dyDescent="0.3">
      <c r="A25" s="4">
        <v>24</v>
      </c>
      <c r="B25" s="3" t="s">
        <v>43</v>
      </c>
      <c r="C25" s="4">
        <v>3</v>
      </c>
      <c r="D25" s="4">
        <v>3</v>
      </c>
      <c r="E25" s="4">
        <v>4</v>
      </c>
      <c r="F25" s="211">
        <v>4</v>
      </c>
      <c r="H25" s="221" t="s">
        <v>548</v>
      </c>
    </row>
    <row r="26" spans="1:8" x14ac:dyDescent="0.3">
      <c r="A26" s="4">
        <v>25</v>
      </c>
      <c r="B26" s="3" t="s">
        <v>45</v>
      </c>
      <c r="C26" s="4">
        <v>3</v>
      </c>
      <c r="D26" s="4">
        <v>4</v>
      </c>
      <c r="E26" s="4">
        <v>3</v>
      </c>
      <c r="F26" s="211">
        <v>4</v>
      </c>
    </row>
    <row r="27" spans="1:8" x14ac:dyDescent="0.3">
      <c r="A27" s="4">
        <v>26</v>
      </c>
      <c r="B27" s="3" t="s">
        <v>46</v>
      </c>
      <c r="C27" s="4">
        <v>3</v>
      </c>
      <c r="D27" s="4">
        <v>3</v>
      </c>
      <c r="E27" s="4">
        <v>3</v>
      </c>
      <c r="F27" s="211">
        <v>4</v>
      </c>
    </row>
    <row r="28" spans="1:8" x14ac:dyDescent="0.3">
      <c r="A28" s="4">
        <v>27</v>
      </c>
      <c r="B28" s="3" t="s">
        <v>47</v>
      </c>
      <c r="C28" s="4">
        <v>2</v>
      </c>
      <c r="D28" s="4">
        <v>2</v>
      </c>
      <c r="E28" s="4">
        <v>3</v>
      </c>
      <c r="F28" s="211">
        <v>2</v>
      </c>
    </row>
    <row r="29" spans="1:8" x14ac:dyDescent="0.3">
      <c r="A29" s="4">
        <v>28</v>
      </c>
      <c r="B29" s="3" t="s">
        <v>48</v>
      </c>
      <c r="C29" s="4">
        <v>2</v>
      </c>
      <c r="D29" s="4">
        <v>2</v>
      </c>
      <c r="E29" s="4">
        <v>3</v>
      </c>
      <c r="F29" s="211">
        <v>3</v>
      </c>
    </row>
    <row r="30" spans="1:8" x14ac:dyDescent="0.3">
      <c r="A30" s="4">
        <v>29</v>
      </c>
      <c r="B30" s="3" t="s">
        <v>49</v>
      </c>
      <c r="C30" s="4">
        <v>2</v>
      </c>
      <c r="D30" s="4">
        <v>2</v>
      </c>
      <c r="E30" s="4">
        <v>3</v>
      </c>
      <c r="F30" s="211">
        <v>3</v>
      </c>
    </row>
    <row r="31" spans="1:8" x14ac:dyDescent="0.3">
      <c r="A31" s="4">
        <v>30</v>
      </c>
      <c r="B31" s="3" t="s">
        <v>50</v>
      </c>
      <c r="C31" s="4">
        <v>2</v>
      </c>
      <c r="D31" s="4">
        <v>3</v>
      </c>
      <c r="E31" s="4">
        <v>4</v>
      </c>
      <c r="F31" s="211">
        <v>2</v>
      </c>
    </row>
    <row r="32" spans="1:8" x14ac:dyDescent="0.3">
      <c r="A32" s="4">
        <v>31</v>
      </c>
      <c r="B32" s="3" t="s">
        <v>51</v>
      </c>
      <c r="C32" s="4">
        <v>3</v>
      </c>
      <c r="D32" s="4">
        <v>2</v>
      </c>
      <c r="E32" s="4">
        <v>4</v>
      </c>
      <c r="F32" s="211">
        <v>3</v>
      </c>
    </row>
    <row r="33" spans="1:6" x14ac:dyDescent="0.3">
      <c r="A33" s="4">
        <v>32</v>
      </c>
      <c r="B33" s="3" t="s">
        <v>52</v>
      </c>
      <c r="C33" s="4">
        <v>3</v>
      </c>
      <c r="D33" s="4">
        <v>3</v>
      </c>
      <c r="E33" s="4">
        <v>2</v>
      </c>
      <c r="F33" s="211">
        <v>2</v>
      </c>
    </row>
    <row r="34" spans="1:6" x14ac:dyDescent="0.3">
      <c r="A34" s="4">
        <v>33</v>
      </c>
      <c r="B34" s="3" t="s">
        <v>53</v>
      </c>
      <c r="C34" s="4">
        <v>3</v>
      </c>
      <c r="D34" s="4">
        <v>3</v>
      </c>
      <c r="E34" s="4">
        <v>2</v>
      </c>
      <c r="F34" s="211">
        <v>3</v>
      </c>
    </row>
    <row r="35" spans="1:6" x14ac:dyDescent="0.3">
      <c r="A35" s="4">
        <v>34</v>
      </c>
      <c r="B35" s="3" t="s">
        <v>54</v>
      </c>
      <c r="C35" s="4">
        <v>3</v>
      </c>
      <c r="D35" s="4">
        <v>3</v>
      </c>
      <c r="E35" s="4">
        <v>2</v>
      </c>
      <c r="F35" s="211">
        <v>3</v>
      </c>
    </row>
    <row r="36" spans="1:6" x14ac:dyDescent="0.3">
      <c r="A36" s="4">
        <v>35</v>
      </c>
      <c r="B36" s="3" t="s">
        <v>55</v>
      </c>
      <c r="C36" s="4">
        <v>1</v>
      </c>
      <c r="D36" s="4">
        <v>2</v>
      </c>
      <c r="E36" s="4">
        <v>2</v>
      </c>
      <c r="F36" s="211">
        <v>2</v>
      </c>
    </row>
    <row r="37" spans="1:6" x14ac:dyDescent="0.3">
      <c r="A37" s="4">
        <v>36</v>
      </c>
      <c r="B37" s="3" t="s">
        <v>56</v>
      </c>
      <c r="C37" s="4">
        <v>2</v>
      </c>
      <c r="D37" s="4">
        <v>2</v>
      </c>
      <c r="E37" s="4">
        <v>2</v>
      </c>
      <c r="F37" s="211">
        <v>3</v>
      </c>
    </row>
    <row r="38" spans="1:6" x14ac:dyDescent="0.3">
      <c r="A38" s="4">
        <v>37</v>
      </c>
      <c r="B38" s="3" t="s">
        <v>57</v>
      </c>
      <c r="C38" s="4">
        <v>3</v>
      </c>
      <c r="D38" s="4">
        <v>3</v>
      </c>
      <c r="E38" s="4">
        <v>3</v>
      </c>
      <c r="F38" s="211">
        <v>3</v>
      </c>
    </row>
    <row r="39" spans="1:6" x14ac:dyDescent="0.3">
      <c r="A39" s="4">
        <v>38</v>
      </c>
      <c r="B39" s="3" t="s">
        <v>58</v>
      </c>
      <c r="C39" s="4">
        <v>3</v>
      </c>
      <c r="D39" s="4">
        <v>3</v>
      </c>
      <c r="E39" s="4">
        <v>3</v>
      </c>
      <c r="F39" s="211">
        <v>3</v>
      </c>
    </row>
    <row r="40" spans="1:6" x14ac:dyDescent="0.3">
      <c r="A40" s="4">
        <v>39</v>
      </c>
      <c r="B40" s="3" t="s">
        <v>59</v>
      </c>
      <c r="C40" s="4">
        <v>1</v>
      </c>
      <c r="D40" s="4">
        <v>1</v>
      </c>
      <c r="E40" s="4">
        <v>3</v>
      </c>
      <c r="F40" s="211">
        <v>2</v>
      </c>
    </row>
    <row r="41" spans="1:6" x14ac:dyDescent="0.3">
      <c r="A41" s="4">
        <v>40</v>
      </c>
      <c r="B41" s="3" t="s">
        <v>60</v>
      </c>
      <c r="C41" s="4">
        <v>3</v>
      </c>
      <c r="D41" s="4">
        <v>1</v>
      </c>
      <c r="E41" s="4">
        <v>3</v>
      </c>
      <c r="F41" s="211">
        <v>2</v>
      </c>
    </row>
    <row r="42" spans="1:6" x14ac:dyDescent="0.3">
      <c r="A42" s="4">
        <v>41</v>
      </c>
      <c r="B42" s="3" t="s">
        <v>61</v>
      </c>
      <c r="C42" s="4">
        <v>2</v>
      </c>
      <c r="D42" s="4">
        <v>3</v>
      </c>
      <c r="E42" s="4">
        <v>3</v>
      </c>
      <c r="F42" s="211">
        <v>2</v>
      </c>
    </row>
    <row r="43" spans="1:6" x14ac:dyDescent="0.3">
      <c r="A43" s="4">
        <v>42</v>
      </c>
      <c r="B43" s="3" t="s">
        <v>62</v>
      </c>
      <c r="C43" s="4">
        <v>3</v>
      </c>
      <c r="D43" s="4">
        <v>3</v>
      </c>
      <c r="E43" s="4">
        <v>3</v>
      </c>
      <c r="F43" s="211">
        <v>3</v>
      </c>
    </row>
    <row r="44" spans="1:6" x14ac:dyDescent="0.3">
      <c r="A44" s="4">
        <v>43</v>
      </c>
      <c r="B44" s="3" t="s">
        <v>63</v>
      </c>
      <c r="C44" s="4">
        <v>3</v>
      </c>
      <c r="D44" s="4">
        <v>4</v>
      </c>
      <c r="E44" s="4">
        <v>3</v>
      </c>
      <c r="F44" s="211">
        <v>3</v>
      </c>
    </row>
    <row r="45" spans="1:6" x14ac:dyDescent="0.3">
      <c r="A45" s="4">
        <v>44</v>
      </c>
      <c r="B45" s="3" t="s">
        <v>64</v>
      </c>
      <c r="C45" s="4">
        <v>1</v>
      </c>
      <c r="D45" s="4">
        <v>4</v>
      </c>
      <c r="E45" s="4">
        <v>3</v>
      </c>
      <c r="F45" s="211">
        <v>3</v>
      </c>
    </row>
    <row r="46" spans="1:6" x14ac:dyDescent="0.3">
      <c r="A46" s="4">
        <v>45</v>
      </c>
      <c r="B46" s="3" t="s">
        <v>65</v>
      </c>
      <c r="C46" s="4">
        <v>1</v>
      </c>
      <c r="D46" s="4">
        <v>3</v>
      </c>
      <c r="E46" s="4">
        <v>3</v>
      </c>
      <c r="F46" s="211">
        <v>2</v>
      </c>
    </row>
    <row r="47" spans="1:6" x14ac:dyDescent="0.3">
      <c r="A47" s="4">
        <v>46</v>
      </c>
      <c r="B47" s="3" t="s">
        <v>66</v>
      </c>
      <c r="C47" s="4">
        <v>3</v>
      </c>
      <c r="D47" s="4">
        <v>2</v>
      </c>
      <c r="E47" s="4">
        <v>1</v>
      </c>
      <c r="F47" s="211">
        <v>4</v>
      </c>
    </row>
    <row r="48" spans="1:6" x14ac:dyDescent="0.3">
      <c r="A48" s="4">
        <v>47</v>
      </c>
      <c r="B48" s="3" t="s">
        <v>67</v>
      </c>
      <c r="C48" s="4">
        <v>3</v>
      </c>
      <c r="D48" s="4">
        <v>4</v>
      </c>
      <c r="E48" s="4">
        <v>4</v>
      </c>
      <c r="F48" s="211">
        <v>3</v>
      </c>
    </row>
    <row r="49" spans="1:6" x14ac:dyDescent="0.3">
      <c r="A49" s="4">
        <v>48</v>
      </c>
      <c r="B49" s="3" t="s">
        <v>68</v>
      </c>
      <c r="C49" s="4">
        <v>3</v>
      </c>
      <c r="D49" s="4">
        <v>3</v>
      </c>
      <c r="E49" s="4">
        <v>4</v>
      </c>
      <c r="F49" s="211">
        <v>3</v>
      </c>
    </row>
    <row r="50" spans="1:6" x14ac:dyDescent="0.3">
      <c r="A50" s="4">
        <v>49</v>
      </c>
      <c r="B50" s="3" t="s">
        <v>69</v>
      </c>
      <c r="C50" s="4">
        <v>3</v>
      </c>
      <c r="D50" s="4">
        <v>3</v>
      </c>
      <c r="E50" s="4">
        <v>3</v>
      </c>
      <c r="F50" s="211">
        <v>3</v>
      </c>
    </row>
    <row r="51" spans="1:6" x14ac:dyDescent="0.3">
      <c r="B51" s="3"/>
    </row>
    <row r="52" spans="1:6" x14ac:dyDescent="0.3">
      <c r="B52" s="3"/>
    </row>
    <row r="53" spans="1:6" x14ac:dyDescent="0.3">
      <c r="B53" s="3"/>
    </row>
    <row r="54" spans="1:6" x14ac:dyDescent="0.3">
      <c r="B54" s="3"/>
    </row>
    <row r="55" spans="1:6" x14ac:dyDescent="0.3">
      <c r="B55" s="3"/>
    </row>
    <row r="56" spans="1:6" x14ac:dyDescent="0.3">
      <c r="B56" s="3"/>
    </row>
    <row r="57" spans="1:6" x14ac:dyDescent="0.3">
      <c r="B57" s="3"/>
    </row>
    <row r="58" spans="1:6" x14ac:dyDescent="0.3">
      <c r="B58" s="3"/>
    </row>
    <row r="59" spans="1:6" x14ac:dyDescent="0.3">
      <c r="B59" s="3"/>
    </row>
    <row r="60" spans="1:6" x14ac:dyDescent="0.3">
      <c r="B60" s="3"/>
    </row>
    <row r="61" spans="1:6" x14ac:dyDescent="0.3">
      <c r="B61" s="3"/>
    </row>
    <row r="62" spans="1:6" x14ac:dyDescent="0.3">
      <c r="B62" s="3"/>
    </row>
    <row r="63" spans="1:6" x14ac:dyDescent="0.3">
      <c r="B63" s="3"/>
    </row>
    <row r="64" spans="1:6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</sheetData>
  <autoFilter ref="B1:E256" xr:uid="{D99A735A-6410-4C76-AEFB-DA2EE1C66AE5}"/>
  <phoneticPr fontId="1" type="noConversion"/>
  <dataValidations count="2">
    <dataValidation type="whole" allowBlank="1" showInputMessage="1" showErrorMessage="1" sqref="D53:D68 D70:D256 E2:E16379" xr:uid="{B56636A2-20BA-4D45-AE52-C3264615A2F2}">
      <formula1>0</formula1>
      <formula2>5</formula2>
    </dataValidation>
    <dataValidation type="whole" allowBlank="1" showInputMessage="1" showErrorMessage="1" sqref="D69" xr:uid="{2E766D88-6E56-42DE-B893-F1E22D424412}">
      <formula1>0</formula1>
      <formula2>7</formula2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83F4-F53E-41BA-B7F0-4315ED06723B}">
  <dimension ref="A1:E256"/>
  <sheetViews>
    <sheetView zoomScale="80" zoomScaleNormal="80" workbookViewId="0">
      <selection activeCell="A44" sqref="A44:XFD46"/>
    </sheetView>
  </sheetViews>
  <sheetFormatPr defaultRowHeight="15.6" x14ac:dyDescent="0.3"/>
  <cols>
    <col min="1" max="1" width="4.21875" style="4" bestFit="1" customWidth="1"/>
    <col min="2" max="2" width="42.21875" style="2" customWidth="1"/>
    <col min="3" max="3" width="21" style="4" customWidth="1"/>
    <col min="4" max="4" width="18.44140625" style="4" customWidth="1"/>
    <col min="5" max="5" width="19.6640625" style="4" customWidth="1"/>
  </cols>
  <sheetData>
    <row r="1" spans="1:5" x14ac:dyDescent="0.3">
      <c r="A1" s="4" t="s">
        <v>15</v>
      </c>
      <c r="B1" s="4" t="s">
        <v>6</v>
      </c>
      <c r="C1" s="4" t="s">
        <v>7</v>
      </c>
      <c r="D1" s="4" t="s">
        <v>233</v>
      </c>
      <c r="E1" s="4" t="s">
        <v>10</v>
      </c>
    </row>
    <row r="2" spans="1:5" s="9" customFormat="1" x14ac:dyDescent="0.3">
      <c r="A2" s="7">
        <v>1</v>
      </c>
      <c r="B2" s="8" t="s">
        <v>21</v>
      </c>
      <c r="C2" s="7">
        <v>4</v>
      </c>
      <c r="D2" s="7">
        <v>4</v>
      </c>
      <c r="E2" s="7" t="s">
        <v>11</v>
      </c>
    </row>
    <row r="3" spans="1:5" s="18" customFormat="1" x14ac:dyDescent="0.3">
      <c r="A3" s="16">
        <v>2</v>
      </c>
      <c r="B3" s="17" t="s">
        <v>22</v>
      </c>
      <c r="C3" s="16">
        <v>3</v>
      </c>
      <c r="D3" s="16">
        <v>2</v>
      </c>
      <c r="E3" s="16" t="s">
        <v>14</v>
      </c>
    </row>
    <row r="4" spans="1:5" s="15" customFormat="1" x14ac:dyDescent="0.3">
      <c r="A4" s="13">
        <v>3</v>
      </c>
      <c r="B4" s="14" t="s">
        <v>23</v>
      </c>
      <c r="C4" s="13">
        <v>1</v>
      </c>
      <c r="D4" s="13">
        <v>3</v>
      </c>
      <c r="E4" s="13" t="s">
        <v>13</v>
      </c>
    </row>
    <row r="5" spans="1:5" s="9" customFormat="1" x14ac:dyDescent="0.3">
      <c r="A5" s="7">
        <v>4</v>
      </c>
      <c r="B5" s="8" t="s">
        <v>24</v>
      </c>
      <c r="C5" s="7">
        <v>3</v>
      </c>
      <c r="D5" s="7">
        <v>3</v>
      </c>
      <c r="E5" s="7" t="s">
        <v>11</v>
      </c>
    </row>
    <row r="6" spans="1:5" s="9" customFormat="1" x14ac:dyDescent="0.3">
      <c r="A6" s="7">
        <v>5</v>
      </c>
      <c r="B6" s="8" t="s">
        <v>25</v>
      </c>
      <c r="C6" s="7">
        <v>3</v>
      </c>
      <c r="D6" s="7">
        <v>3</v>
      </c>
      <c r="E6" s="7" t="s">
        <v>11</v>
      </c>
    </row>
    <row r="7" spans="1:5" s="9" customFormat="1" x14ac:dyDescent="0.3">
      <c r="A7" s="7">
        <v>6</v>
      </c>
      <c r="B7" s="8" t="s">
        <v>26</v>
      </c>
      <c r="C7" s="7">
        <v>3</v>
      </c>
      <c r="D7" s="7">
        <v>4</v>
      </c>
      <c r="E7" s="7" t="s">
        <v>11</v>
      </c>
    </row>
    <row r="8" spans="1:5" s="12" customFormat="1" x14ac:dyDescent="0.3">
      <c r="A8" s="10">
        <v>7</v>
      </c>
      <c r="B8" s="11" t="s">
        <v>27</v>
      </c>
      <c r="C8" s="10">
        <v>1</v>
      </c>
      <c r="D8" s="10">
        <v>2</v>
      </c>
      <c r="E8" s="10" t="s">
        <v>12</v>
      </c>
    </row>
    <row r="9" spans="1:5" s="12" customFormat="1" x14ac:dyDescent="0.3">
      <c r="A9" s="10">
        <v>8</v>
      </c>
      <c r="B9" s="11" t="s">
        <v>28</v>
      </c>
      <c r="C9" s="10">
        <v>2</v>
      </c>
      <c r="D9" s="10">
        <v>2</v>
      </c>
      <c r="E9" s="10" t="s">
        <v>12</v>
      </c>
    </row>
    <row r="10" spans="1:5" s="18" customFormat="1" x14ac:dyDescent="0.3">
      <c r="A10" s="16">
        <v>9</v>
      </c>
      <c r="B10" s="17" t="s">
        <v>29</v>
      </c>
      <c r="C10" s="16">
        <v>3</v>
      </c>
      <c r="D10" s="16">
        <v>1</v>
      </c>
      <c r="E10" s="16" t="s">
        <v>14</v>
      </c>
    </row>
    <row r="11" spans="1:5" s="18" customFormat="1" x14ac:dyDescent="0.3">
      <c r="A11" s="16">
        <v>10</v>
      </c>
      <c r="B11" s="17" t="s">
        <v>30</v>
      </c>
      <c r="C11" s="16">
        <v>3</v>
      </c>
      <c r="D11" s="16">
        <v>2</v>
      </c>
      <c r="E11" s="16" t="s">
        <v>14</v>
      </c>
    </row>
    <row r="12" spans="1:5" s="9" customFormat="1" x14ac:dyDescent="0.3">
      <c r="A12" s="7">
        <v>11</v>
      </c>
      <c r="B12" s="8" t="s">
        <v>31</v>
      </c>
      <c r="C12" s="7">
        <v>3</v>
      </c>
      <c r="D12" s="7">
        <v>3</v>
      </c>
      <c r="E12" s="7" t="s">
        <v>11</v>
      </c>
    </row>
    <row r="13" spans="1:5" s="9" customFormat="1" x14ac:dyDescent="0.3">
      <c r="A13" s="7">
        <v>12</v>
      </c>
      <c r="B13" s="8" t="s">
        <v>32</v>
      </c>
      <c r="C13" s="7">
        <v>3</v>
      </c>
      <c r="D13" s="7">
        <v>3</v>
      </c>
      <c r="E13" s="7" t="s">
        <v>11</v>
      </c>
    </row>
    <row r="14" spans="1:5" s="18" customFormat="1" x14ac:dyDescent="0.3">
      <c r="A14" s="16">
        <v>13</v>
      </c>
      <c r="B14" s="17" t="s">
        <v>33</v>
      </c>
      <c r="C14" s="16">
        <v>3</v>
      </c>
      <c r="D14" s="16">
        <v>2</v>
      </c>
      <c r="E14" s="16" t="s">
        <v>14</v>
      </c>
    </row>
    <row r="15" spans="1:5" s="9" customFormat="1" x14ac:dyDescent="0.3">
      <c r="A15" s="7">
        <v>14</v>
      </c>
      <c r="B15" s="8" t="s">
        <v>34</v>
      </c>
      <c r="C15" s="7">
        <v>3</v>
      </c>
      <c r="D15" s="7">
        <v>3</v>
      </c>
      <c r="E15" s="7" t="s">
        <v>11</v>
      </c>
    </row>
    <row r="16" spans="1:5" s="9" customFormat="1" x14ac:dyDescent="0.3">
      <c r="A16" s="7">
        <v>15</v>
      </c>
      <c r="B16" s="8" t="s">
        <v>35</v>
      </c>
      <c r="C16" s="7">
        <v>3</v>
      </c>
      <c r="D16" s="7">
        <v>3</v>
      </c>
      <c r="E16" s="7" t="s">
        <v>11</v>
      </c>
    </row>
    <row r="17" spans="1:5" s="9" customFormat="1" x14ac:dyDescent="0.3">
      <c r="A17" s="7">
        <v>16</v>
      </c>
      <c r="B17" s="8" t="s">
        <v>36</v>
      </c>
      <c r="C17" s="7">
        <v>4</v>
      </c>
      <c r="D17" s="7">
        <v>4</v>
      </c>
      <c r="E17" s="7" t="s">
        <v>11</v>
      </c>
    </row>
    <row r="18" spans="1:5" s="12" customFormat="1" x14ac:dyDescent="0.3">
      <c r="A18" s="10">
        <v>17</v>
      </c>
      <c r="B18" s="11" t="s">
        <v>37</v>
      </c>
      <c r="C18" s="10">
        <v>1</v>
      </c>
      <c r="D18" s="10">
        <v>2</v>
      </c>
      <c r="E18" s="10" t="s">
        <v>12</v>
      </c>
    </row>
    <row r="19" spans="1:5" s="9" customFormat="1" x14ac:dyDescent="0.3">
      <c r="A19" s="7">
        <v>18</v>
      </c>
      <c r="B19" s="8" t="s">
        <v>38</v>
      </c>
      <c r="C19" s="7">
        <v>3</v>
      </c>
      <c r="D19" s="7">
        <v>3</v>
      </c>
      <c r="E19" s="7" t="s">
        <v>11</v>
      </c>
    </row>
    <row r="20" spans="1:5" s="18" customFormat="1" x14ac:dyDescent="0.3">
      <c r="A20" s="16">
        <v>19</v>
      </c>
      <c r="B20" s="17" t="s">
        <v>39</v>
      </c>
      <c r="C20" s="16">
        <v>3</v>
      </c>
      <c r="D20" s="16">
        <v>2</v>
      </c>
      <c r="E20" s="16" t="s">
        <v>14</v>
      </c>
    </row>
    <row r="21" spans="1:5" s="9" customFormat="1" x14ac:dyDescent="0.3">
      <c r="A21" s="7">
        <v>20</v>
      </c>
      <c r="B21" s="8" t="s">
        <v>40</v>
      </c>
      <c r="C21" s="7">
        <v>3</v>
      </c>
      <c r="D21" s="7">
        <v>3</v>
      </c>
      <c r="E21" s="7" t="s">
        <v>11</v>
      </c>
    </row>
    <row r="22" spans="1:5" s="9" customFormat="1" x14ac:dyDescent="0.3">
      <c r="A22" s="7">
        <v>21</v>
      </c>
      <c r="B22" s="8" t="s">
        <v>41</v>
      </c>
      <c r="C22" s="7">
        <v>3</v>
      </c>
      <c r="D22" s="7">
        <v>3</v>
      </c>
      <c r="E22" s="7" t="s">
        <v>11</v>
      </c>
    </row>
    <row r="23" spans="1:5" s="18" customFormat="1" x14ac:dyDescent="0.3">
      <c r="A23" s="16">
        <v>22</v>
      </c>
      <c r="B23" s="17" t="s">
        <v>42</v>
      </c>
      <c r="C23" s="16">
        <v>3</v>
      </c>
      <c r="D23" s="16">
        <v>2</v>
      </c>
      <c r="E23" s="16" t="s">
        <v>14</v>
      </c>
    </row>
    <row r="24" spans="1:5" s="15" customFormat="1" x14ac:dyDescent="0.3">
      <c r="A24" s="13">
        <v>23</v>
      </c>
      <c r="B24" s="14" t="s">
        <v>44</v>
      </c>
      <c r="C24" s="13">
        <v>2</v>
      </c>
      <c r="D24" s="13">
        <v>3</v>
      </c>
      <c r="E24" s="13" t="s">
        <v>13</v>
      </c>
    </row>
    <row r="25" spans="1:5" s="9" customFormat="1" x14ac:dyDescent="0.3">
      <c r="A25" s="7">
        <v>24</v>
      </c>
      <c r="B25" s="8" t="s">
        <v>43</v>
      </c>
      <c r="C25" s="7">
        <v>3</v>
      </c>
      <c r="D25" s="7">
        <v>3</v>
      </c>
      <c r="E25" s="7" t="s">
        <v>11</v>
      </c>
    </row>
    <row r="26" spans="1:5" s="9" customFormat="1" x14ac:dyDescent="0.3">
      <c r="A26" s="7">
        <v>25</v>
      </c>
      <c r="B26" s="8" t="s">
        <v>45</v>
      </c>
      <c r="C26" s="7">
        <v>3</v>
      </c>
      <c r="D26" s="7">
        <v>4</v>
      </c>
      <c r="E26" s="7" t="s">
        <v>11</v>
      </c>
    </row>
    <row r="27" spans="1:5" s="9" customFormat="1" x14ac:dyDescent="0.3">
      <c r="A27" s="7">
        <v>26</v>
      </c>
      <c r="B27" s="8" t="s">
        <v>46</v>
      </c>
      <c r="C27" s="7">
        <v>3</v>
      </c>
      <c r="D27" s="7">
        <v>3</v>
      </c>
      <c r="E27" s="7" t="s">
        <v>11</v>
      </c>
    </row>
    <row r="28" spans="1:5" s="12" customFormat="1" x14ac:dyDescent="0.3">
      <c r="A28" s="10">
        <v>27</v>
      </c>
      <c r="B28" s="11" t="s">
        <v>47</v>
      </c>
      <c r="C28" s="10">
        <v>2</v>
      </c>
      <c r="D28" s="10">
        <v>2</v>
      </c>
      <c r="E28" s="10" t="s">
        <v>12</v>
      </c>
    </row>
    <row r="29" spans="1:5" s="12" customFormat="1" x14ac:dyDescent="0.3">
      <c r="A29" s="10">
        <v>28</v>
      </c>
      <c r="B29" s="11" t="s">
        <v>48</v>
      </c>
      <c r="C29" s="10">
        <v>2</v>
      </c>
      <c r="D29" s="10">
        <v>2</v>
      </c>
      <c r="E29" s="10" t="s">
        <v>12</v>
      </c>
    </row>
    <row r="30" spans="1:5" s="12" customFormat="1" x14ac:dyDescent="0.3">
      <c r="A30" s="10">
        <v>29</v>
      </c>
      <c r="B30" s="11" t="s">
        <v>49</v>
      </c>
      <c r="C30" s="10">
        <v>2</v>
      </c>
      <c r="D30" s="10">
        <v>2</v>
      </c>
      <c r="E30" s="10" t="s">
        <v>12</v>
      </c>
    </row>
    <row r="31" spans="1:5" s="15" customFormat="1" x14ac:dyDescent="0.3">
      <c r="A31" s="13">
        <v>30</v>
      </c>
      <c r="B31" s="14" t="s">
        <v>50</v>
      </c>
      <c r="C31" s="13">
        <v>2</v>
      </c>
      <c r="D31" s="13">
        <v>3</v>
      </c>
      <c r="E31" s="13" t="s">
        <v>13</v>
      </c>
    </row>
    <row r="32" spans="1:5" s="18" customFormat="1" x14ac:dyDescent="0.3">
      <c r="A32" s="16">
        <v>31</v>
      </c>
      <c r="B32" s="17" t="s">
        <v>51</v>
      </c>
      <c r="C32" s="16">
        <v>3</v>
      </c>
      <c r="D32" s="16">
        <v>2</v>
      </c>
      <c r="E32" s="16" t="s">
        <v>14</v>
      </c>
    </row>
    <row r="33" spans="1:5" s="9" customFormat="1" x14ac:dyDescent="0.3">
      <c r="A33" s="7">
        <v>32</v>
      </c>
      <c r="B33" s="8" t="s">
        <v>52</v>
      </c>
      <c r="C33" s="7">
        <v>3</v>
      </c>
      <c r="D33" s="7">
        <v>3</v>
      </c>
      <c r="E33" s="7" t="s">
        <v>11</v>
      </c>
    </row>
    <row r="34" spans="1:5" s="9" customFormat="1" x14ac:dyDescent="0.3">
      <c r="A34" s="7">
        <v>33</v>
      </c>
      <c r="B34" s="8" t="s">
        <v>53</v>
      </c>
      <c r="C34" s="7">
        <v>3</v>
      </c>
      <c r="D34" s="7">
        <v>3</v>
      </c>
      <c r="E34" s="7" t="s">
        <v>11</v>
      </c>
    </row>
    <row r="35" spans="1:5" s="9" customFormat="1" x14ac:dyDescent="0.3">
      <c r="A35" s="7">
        <v>34</v>
      </c>
      <c r="B35" s="8" t="s">
        <v>54</v>
      </c>
      <c r="C35" s="7">
        <v>3</v>
      </c>
      <c r="D35" s="7">
        <v>3</v>
      </c>
      <c r="E35" s="7" t="s">
        <v>11</v>
      </c>
    </row>
    <row r="36" spans="1:5" s="12" customFormat="1" x14ac:dyDescent="0.3">
      <c r="A36" s="10">
        <v>35</v>
      </c>
      <c r="B36" s="11" t="s">
        <v>55</v>
      </c>
      <c r="C36" s="10">
        <v>1</v>
      </c>
      <c r="D36" s="10">
        <v>2</v>
      </c>
      <c r="E36" s="10" t="s">
        <v>12</v>
      </c>
    </row>
    <row r="37" spans="1:5" s="12" customFormat="1" x14ac:dyDescent="0.3">
      <c r="A37" s="10">
        <v>36</v>
      </c>
      <c r="B37" s="11" t="s">
        <v>56</v>
      </c>
      <c r="C37" s="10">
        <v>2</v>
      </c>
      <c r="D37" s="10">
        <v>2</v>
      </c>
      <c r="E37" s="10" t="s">
        <v>12</v>
      </c>
    </row>
    <row r="38" spans="1:5" s="9" customFormat="1" x14ac:dyDescent="0.3">
      <c r="A38" s="7">
        <v>37</v>
      </c>
      <c r="B38" s="8" t="s">
        <v>57</v>
      </c>
      <c r="C38" s="7">
        <v>3</v>
      </c>
      <c r="D38" s="7">
        <v>3</v>
      </c>
      <c r="E38" s="7" t="s">
        <v>11</v>
      </c>
    </row>
    <row r="39" spans="1:5" s="9" customFormat="1" x14ac:dyDescent="0.3">
      <c r="A39" s="7">
        <v>38</v>
      </c>
      <c r="B39" s="8" t="s">
        <v>58</v>
      </c>
      <c r="C39" s="7">
        <v>3</v>
      </c>
      <c r="D39" s="7">
        <v>3</v>
      </c>
      <c r="E39" s="7" t="s">
        <v>11</v>
      </c>
    </row>
    <row r="40" spans="1:5" s="12" customFormat="1" x14ac:dyDescent="0.3">
      <c r="A40" s="10">
        <v>39</v>
      </c>
      <c r="B40" s="11" t="s">
        <v>59</v>
      </c>
      <c r="C40" s="10">
        <v>1</v>
      </c>
      <c r="D40" s="10">
        <v>1</v>
      </c>
      <c r="E40" s="10" t="s">
        <v>12</v>
      </c>
    </row>
    <row r="41" spans="1:5" s="18" customFormat="1" x14ac:dyDescent="0.3">
      <c r="A41" s="16">
        <v>40</v>
      </c>
      <c r="B41" s="17" t="s">
        <v>60</v>
      </c>
      <c r="C41" s="16">
        <v>3</v>
      </c>
      <c r="D41" s="16">
        <v>1</v>
      </c>
      <c r="E41" s="16" t="s">
        <v>14</v>
      </c>
    </row>
    <row r="42" spans="1:5" s="15" customFormat="1" x14ac:dyDescent="0.3">
      <c r="A42" s="13">
        <v>41</v>
      </c>
      <c r="B42" s="14" t="s">
        <v>61</v>
      </c>
      <c r="C42" s="13">
        <v>2</v>
      </c>
      <c r="D42" s="13">
        <v>3</v>
      </c>
      <c r="E42" s="13" t="s">
        <v>13</v>
      </c>
    </row>
    <row r="43" spans="1:5" s="9" customFormat="1" x14ac:dyDescent="0.3">
      <c r="A43" s="7">
        <v>42</v>
      </c>
      <c r="B43" s="8" t="s">
        <v>62</v>
      </c>
      <c r="C43" s="7">
        <v>3</v>
      </c>
      <c r="D43" s="7">
        <v>3</v>
      </c>
      <c r="E43" s="7" t="s">
        <v>11</v>
      </c>
    </row>
    <row r="44" spans="1:5" s="9" customFormat="1" x14ac:dyDescent="0.3">
      <c r="A44" s="7">
        <v>43</v>
      </c>
      <c r="B44" s="8" t="s">
        <v>63</v>
      </c>
      <c r="C44" s="7">
        <v>3</v>
      </c>
      <c r="D44" s="7">
        <v>4</v>
      </c>
      <c r="E44" s="7" t="s">
        <v>11</v>
      </c>
    </row>
    <row r="45" spans="1:5" s="15" customFormat="1" x14ac:dyDescent="0.3">
      <c r="A45" s="13">
        <v>44</v>
      </c>
      <c r="B45" s="14" t="s">
        <v>64</v>
      </c>
      <c r="C45" s="13">
        <v>1</v>
      </c>
      <c r="D45" s="13">
        <v>4</v>
      </c>
      <c r="E45" s="13" t="s">
        <v>13</v>
      </c>
    </row>
    <row r="46" spans="1:5" s="15" customFormat="1" x14ac:dyDescent="0.3">
      <c r="A46" s="13">
        <v>45</v>
      </c>
      <c r="B46" s="14" t="s">
        <v>65</v>
      </c>
      <c r="C46" s="13">
        <v>1</v>
      </c>
      <c r="D46" s="13">
        <v>3</v>
      </c>
      <c r="E46" s="13" t="s">
        <v>13</v>
      </c>
    </row>
    <row r="47" spans="1:5" s="18" customFormat="1" x14ac:dyDescent="0.3">
      <c r="A47" s="16">
        <v>46</v>
      </c>
      <c r="B47" s="17" t="s">
        <v>66</v>
      </c>
      <c r="C47" s="16">
        <v>3</v>
      </c>
      <c r="D47" s="16">
        <v>2</v>
      </c>
      <c r="E47" s="16" t="s">
        <v>14</v>
      </c>
    </row>
    <row r="48" spans="1:5" s="9" customFormat="1" x14ac:dyDescent="0.3">
      <c r="A48" s="7">
        <v>47</v>
      </c>
      <c r="B48" s="8" t="s">
        <v>67</v>
      </c>
      <c r="C48" s="7">
        <v>3</v>
      </c>
      <c r="D48" s="7">
        <v>4</v>
      </c>
      <c r="E48" s="7" t="s">
        <v>11</v>
      </c>
    </row>
    <row r="49" spans="1:5" s="9" customFormat="1" x14ac:dyDescent="0.3">
      <c r="A49" s="7">
        <v>48</v>
      </c>
      <c r="B49" s="8" t="s">
        <v>68</v>
      </c>
      <c r="C49" s="7">
        <v>3</v>
      </c>
      <c r="D49" s="7">
        <v>3</v>
      </c>
      <c r="E49" s="7" t="s">
        <v>11</v>
      </c>
    </row>
    <row r="50" spans="1:5" s="9" customFormat="1" x14ac:dyDescent="0.3">
      <c r="A50" s="7">
        <v>49</v>
      </c>
      <c r="B50" s="8" t="s">
        <v>69</v>
      </c>
      <c r="C50" s="7">
        <v>3</v>
      </c>
      <c r="D50" s="7">
        <v>3</v>
      </c>
      <c r="E50" s="7" t="s">
        <v>11</v>
      </c>
    </row>
    <row r="51" spans="1:5" x14ac:dyDescent="0.3">
      <c r="B51" s="3"/>
    </row>
    <row r="52" spans="1:5" x14ac:dyDescent="0.3">
      <c r="B52" s="3" t="s">
        <v>242</v>
      </c>
      <c r="C52" s="4">
        <v>25</v>
      </c>
    </row>
    <row r="53" spans="1:5" x14ac:dyDescent="0.3">
      <c r="B53" s="3" t="s">
        <v>243</v>
      </c>
      <c r="C53" s="4">
        <v>9</v>
      </c>
    </row>
    <row r="54" spans="1:5" x14ac:dyDescent="0.3">
      <c r="B54" s="3" t="s">
        <v>244</v>
      </c>
      <c r="C54" s="4">
        <v>6</v>
      </c>
    </row>
    <row r="55" spans="1:5" x14ac:dyDescent="0.3">
      <c r="B55" s="3" t="s">
        <v>245</v>
      </c>
      <c r="C55" s="4">
        <v>9</v>
      </c>
    </row>
    <row r="56" spans="1:5" x14ac:dyDescent="0.3">
      <c r="B56" s="3"/>
    </row>
    <row r="57" spans="1:5" x14ac:dyDescent="0.3">
      <c r="B57" s="3" t="s">
        <v>234</v>
      </c>
      <c r="C57" s="4">
        <v>95</v>
      </c>
    </row>
    <row r="58" spans="1:5" x14ac:dyDescent="0.3">
      <c r="B58" s="3" t="s">
        <v>235</v>
      </c>
      <c r="C58" s="4">
        <v>55</v>
      </c>
    </row>
    <row r="59" spans="1:5" x14ac:dyDescent="0.3">
      <c r="B59" s="3" t="s">
        <v>236</v>
      </c>
      <c r="C59" s="4">
        <v>22</v>
      </c>
    </row>
    <row r="60" spans="1:5" x14ac:dyDescent="0.3">
      <c r="B60" s="3" t="s">
        <v>237</v>
      </c>
      <c r="C60" s="4">
        <v>40</v>
      </c>
    </row>
    <row r="61" spans="1:5" x14ac:dyDescent="0.3">
      <c r="B61" s="3"/>
    </row>
    <row r="62" spans="1:5" x14ac:dyDescent="0.3">
      <c r="B62" s="3"/>
    </row>
    <row r="63" spans="1:5" x14ac:dyDescent="0.3">
      <c r="B63" s="3"/>
    </row>
    <row r="64" spans="1:5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</sheetData>
  <dataValidations count="2">
    <dataValidation type="whole" allowBlank="1" showInputMessage="1" showErrorMessage="1" sqref="D69" xr:uid="{1900C244-504D-40D5-B5AE-62C66384C9AF}">
      <formula1>0</formula1>
      <formula2>7</formula2>
    </dataValidation>
    <dataValidation type="whole" allowBlank="1" showInputMessage="1" showErrorMessage="1" sqref="D53:D68 D70:D256" xr:uid="{B2737740-9A95-437C-AFDD-70A9C9F11D55}">
      <formula1>0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669A-BDD0-4381-AE13-A7902CCC9B32}">
  <dimension ref="A1:E256"/>
  <sheetViews>
    <sheetView zoomScale="50" zoomScaleNormal="50" workbookViewId="0">
      <selection activeCell="B52" sqref="B52:C55"/>
    </sheetView>
  </sheetViews>
  <sheetFormatPr defaultRowHeight="15.6" x14ac:dyDescent="0.3"/>
  <cols>
    <col min="1" max="1" width="4.21875" style="4" bestFit="1" customWidth="1"/>
    <col min="2" max="2" width="32.6640625" style="2" customWidth="1"/>
    <col min="3" max="3" width="21" style="4" customWidth="1"/>
    <col min="4" max="4" width="13.33203125" style="4" customWidth="1"/>
    <col min="5" max="5" width="17.77734375" style="4" customWidth="1"/>
  </cols>
  <sheetData>
    <row r="1" spans="1:5" x14ac:dyDescent="0.3">
      <c r="A1" s="4" t="s">
        <v>15</v>
      </c>
      <c r="B1" s="4" t="s">
        <v>6</v>
      </c>
      <c r="C1" s="4" t="s">
        <v>7</v>
      </c>
      <c r="D1" s="4" t="s">
        <v>8</v>
      </c>
      <c r="E1" s="4" t="s">
        <v>10</v>
      </c>
    </row>
    <row r="2" spans="1:5" s="9" customFormat="1" x14ac:dyDescent="0.3">
      <c r="A2" s="7">
        <v>1</v>
      </c>
      <c r="B2" s="8" t="s">
        <v>21</v>
      </c>
      <c r="C2" s="7">
        <v>4</v>
      </c>
      <c r="D2" s="7">
        <v>4</v>
      </c>
      <c r="E2" s="7" t="s">
        <v>11</v>
      </c>
    </row>
    <row r="3" spans="1:5" s="9" customFormat="1" x14ac:dyDescent="0.3">
      <c r="A3" s="7">
        <v>2</v>
      </c>
      <c r="B3" s="8" t="s">
        <v>22</v>
      </c>
      <c r="C3" s="7">
        <v>3</v>
      </c>
      <c r="D3" s="7">
        <v>3</v>
      </c>
      <c r="E3" s="7" t="s">
        <v>11</v>
      </c>
    </row>
    <row r="4" spans="1:5" s="15" customFormat="1" x14ac:dyDescent="0.3">
      <c r="A4" s="13">
        <v>3</v>
      </c>
      <c r="B4" s="14" t="s">
        <v>23</v>
      </c>
      <c r="C4" s="13">
        <v>1</v>
      </c>
      <c r="D4" s="13">
        <v>3</v>
      </c>
      <c r="E4" s="13" t="s">
        <v>13</v>
      </c>
    </row>
    <row r="5" spans="1:5" s="9" customFormat="1" x14ac:dyDescent="0.3">
      <c r="A5" s="7">
        <v>4</v>
      </c>
      <c r="B5" s="8" t="s">
        <v>24</v>
      </c>
      <c r="C5" s="7">
        <v>3</v>
      </c>
      <c r="D5" s="7">
        <v>3</v>
      </c>
      <c r="E5" s="7" t="s">
        <v>11</v>
      </c>
    </row>
    <row r="6" spans="1:5" s="9" customFormat="1" x14ac:dyDescent="0.3">
      <c r="A6" s="7">
        <v>5</v>
      </c>
      <c r="B6" s="8" t="s">
        <v>25</v>
      </c>
      <c r="C6" s="7">
        <v>3</v>
      </c>
      <c r="D6" s="7">
        <v>3</v>
      </c>
      <c r="E6" s="7" t="s">
        <v>11</v>
      </c>
    </row>
    <row r="7" spans="1:5" s="9" customFormat="1" x14ac:dyDescent="0.3">
      <c r="A7" s="7">
        <v>6</v>
      </c>
      <c r="B7" s="8" t="s">
        <v>26</v>
      </c>
      <c r="C7" s="7">
        <v>3</v>
      </c>
      <c r="D7" s="7">
        <v>4</v>
      </c>
      <c r="E7" s="7" t="s">
        <v>11</v>
      </c>
    </row>
    <row r="8" spans="1:5" s="15" customFormat="1" x14ac:dyDescent="0.3">
      <c r="A8" s="13">
        <v>7</v>
      </c>
      <c r="B8" s="14" t="s">
        <v>27</v>
      </c>
      <c r="C8" s="13">
        <v>1</v>
      </c>
      <c r="D8" s="13">
        <v>3</v>
      </c>
      <c r="E8" s="13" t="s">
        <v>13</v>
      </c>
    </row>
    <row r="9" spans="1:5" s="12" customFormat="1" x14ac:dyDescent="0.3">
      <c r="A9" s="10">
        <v>8</v>
      </c>
      <c r="B9" s="11" t="s">
        <v>28</v>
      </c>
      <c r="C9" s="10">
        <v>2</v>
      </c>
      <c r="D9" s="10">
        <v>2</v>
      </c>
      <c r="E9" s="10" t="s">
        <v>12</v>
      </c>
    </row>
    <row r="10" spans="1:5" s="18" customFormat="1" x14ac:dyDescent="0.3">
      <c r="A10" s="16">
        <v>9</v>
      </c>
      <c r="B10" s="17" t="s">
        <v>29</v>
      </c>
      <c r="C10" s="16">
        <v>3</v>
      </c>
      <c r="D10" s="16">
        <v>2</v>
      </c>
      <c r="E10" s="16" t="s">
        <v>14</v>
      </c>
    </row>
    <row r="11" spans="1:5" s="18" customFormat="1" x14ac:dyDescent="0.3">
      <c r="A11" s="16">
        <v>10</v>
      </c>
      <c r="B11" s="17" t="s">
        <v>30</v>
      </c>
      <c r="C11" s="16">
        <v>3</v>
      </c>
      <c r="D11" s="16">
        <v>2</v>
      </c>
      <c r="E11" s="16" t="s">
        <v>14</v>
      </c>
    </row>
    <row r="12" spans="1:5" s="18" customFormat="1" x14ac:dyDescent="0.3">
      <c r="A12" s="16">
        <v>11</v>
      </c>
      <c r="B12" s="17" t="s">
        <v>31</v>
      </c>
      <c r="C12" s="16">
        <v>3</v>
      </c>
      <c r="D12" s="16">
        <v>2</v>
      </c>
      <c r="E12" s="16" t="s">
        <v>14</v>
      </c>
    </row>
    <row r="13" spans="1:5" s="18" customFormat="1" x14ac:dyDescent="0.3">
      <c r="A13" s="16">
        <v>12</v>
      </c>
      <c r="B13" s="17" t="s">
        <v>32</v>
      </c>
      <c r="C13" s="16">
        <v>3</v>
      </c>
      <c r="D13" s="16">
        <v>2</v>
      </c>
      <c r="E13" s="16" t="s">
        <v>14</v>
      </c>
    </row>
    <row r="14" spans="1:5" s="9" customFormat="1" x14ac:dyDescent="0.3">
      <c r="A14" s="7">
        <v>13</v>
      </c>
      <c r="B14" s="8" t="s">
        <v>33</v>
      </c>
      <c r="C14" s="7">
        <v>3</v>
      </c>
      <c r="D14" s="7">
        <v>3</v>
      </c>
      <c r="E14" s="7" t="s">
        <v>11</v>
      </c>
    </row>
    <row r="15" spans="1:5" s="9" customFormat="1" x14ac:dyDescent="0.3">
      <c r="A15" s="7">
        <v>14</v>
      </c>
      <c r="B15" s="8" t="s">
        <v>34</v>
      </c>
      <c r="C15" s="7">
        <v>3</v>
      </c>
      <c r="D15" s="7">
        <v>4</v>
      </c>
      <c r="E15" s="7" t="s">
        <v>11</v>
      </c>
    </row>
    <row r="16" spans="1:5" s="9" customFormat="1" x14ac:dyDescent="0.3">
      <c r="A16" s="7">
        <v>15</v>
      </c>
      <c r="B16" s="8" t="s">
        <v>35</v>
      </c>
      <c r="C16" s="7">
        <v>3</v>
      </c>
      <c r="D16" s="7">
        <v>4</v>
      </c>
      <c r="E16" s="7" t="s">
        <v>11</v>
      </c>
    </row>
    <row r="17" spans="1:5" s="9" customFormat="1" x14ac:dyDescent="0.3">
      <c r="A17" s="7">
        <v>16</v>
      </c>
      <c r="B17" s="8" t="s">
        <v>36</v>
      </c>
      <c r="C17" s="7">
        <v>4</v>
      </c>
      <c r="D17" s="7">
        <v>4</v>
      </c>
      <c r="E17" s="7" t="s">
        <v>11</v>
      </c>
    </row>
    <row r="18" spans="1:5" s="15" customFormat="1" x14ac:dyDescent="0.3">
      <c r="A18" s="13">
        <v>17</v>
      </c>
      <c r="B18" s="14" t="s">
        <v>37</v>
      </c>
      <c r="C18" s="13">
        <v>1</v>
      </c>
      <c r="D18" s="13">
        <v>4</v>
      </c>
      <c r="E18" s="13" t="s">
        <v>13</v>
      </c>
    </row>
    <row r="19" spans="1:5" s="9" customFormat="1" x14ac:dyDescent="0.3">
      <c r="A19" s="7">
        <v>18</v>
      </c>
      <c r="B19" s="8" t="s">
        <v>38</v>
      </c>
      <c r="C19" s="7">
        <v>3</v>
      </c>
      <c r="D19" s="7">
        <v>4</v>
      </c>
      <c r="E19" s="7" t="s">
        <v>11</v>
      </c>
    </row>
    <row r="20" spans="1:5" s="18" customFormat="1" x14ac:dyDescent="0.3">
      <c r="A20" s="16">
        <v>19</v>
      </c>
      <c r="B20" s="17" t="s">
        <v>39</v>
      </c>
      <c r="C20" s="16">
        <v>3</v>
      </c>
      <c r="D20" s="16">
        <v>2</v>
      </c>
      <c r="E20" s="16" t="s">
        <v>14</v>
      </c>
    </row>
    <row r="21" spans="1:5" s="9" customFormat="1" x14ac:dyDescent="0.3">
      <c r="A21" s="7">
        <v>20</v>
      </c>
      <c r="B21" s="8" t="s">
        <v>40</v>
      </c>
      <c r="C21" s="7">
        <v>3</v>
      </c>
      <c r="D21" s="7">
        <v>3</v>
      </c>
      <c r="E21" s="7" t="s">
        <v>11</v>
      </c>
    </row>
    <row r="22" spans="1:5" s="9" customFormat="1" x14ac:dyDescent="0.3">
      <c r="A22" s="7">
        <v>21</v>
      </c>
      <c r="B22" s="8" t="s">
        <v>41</v>
      </c>
      <c r="C22" s="7">
        <v>3</v>
      </c>
      <c r="D22" s="7">
        <v>4</v>
      </c>
      <c r="E22" s="7" t="s">
        <v>11</v>
      </c>
    </row>
    <row r="23" spans="1:5" s="9" customFormat="1" x14ac:dyDescent="0.3">
      <c r="A23" s="7">
        <v>22</v>
      </c>
      <c r="B23" s="8" t="s">
        <v>42</v>
      </c>
      <c r="C23" s="7">
        <v>3</v>
      </c>
      <c r="D23" s="7">
        <v>3</v>
      </c>
      <c r="E23" s="7" t="s">
        <v>11</v>
      </c>
    </row>
    <row r="24" spans="1:5" s="15" customFormat="1" x14ac:dyDescent="0.3">
      <c r="A24" s="13">
        <v>23</v>
      </c>
      <c r="B24" s="14" t="s">
        <v>44</v>
      </c>
      <c r="C24" s="13">
        <v>2</v>
      </c>
      <c r="D24" s="13">
        <v>4</v>
      </c>
      <c r="E24" s="13" t="s">
        <v>13</v>
      </c>
    </row>
    <row r="25" spans="1:5" s="9" customFormat="1" x14ac:dyDescent="0.3">
      <c r="A25" s="7">
        <v>24</v>
      </c>
      <c r="B25" s="8" t="s">
        <v>43</v>
      </c>
      <c r="C25" s="7">
        <v>3</v>
      </c>
      <c r="D25" s="7">
        <v>4</v>
      </c>
      <c r="E25" s="7" t="s">
        <v>11</v>
      </c>
    </row>
    <row r="26" spans="1:5" s="9" customFormat="1" x14ac:dyDescent="0.3">
      <c r="A26" s="7">
        <v>25</v>
      </c>
      <c r="B26" s="8" t="s">
        <v>45</v>
      </c>
      <c r="C26" s="7">
        <v>3</v>
      </c>
      <c r="D26" s="7">
        <v>3</v>
      </c>
      <c r="E26" s="7" t="s">
        <v>11</v>
      </c>
    </row>
    <row r="27" spans="1:5" s="9" customFormat="1" x14ac:dyDescent="0.3">
      <c r="A27" s="7">
        <v>26</v>
      </c>
      <c r="B27" s="8" t="s">
        <v>46</v>
      </c>
      <c r="C27" s="7">
        <v>3</v>
      </c>
      <c r="D27" s="7">
        <v>3</v>
      </c>
      <c r="E27" s="7" t="s">
        <v>11</v>
      </c>
    </row>
    <row r="28" spans="1:5" s="15" customFormat="1" x14ac:dyDescent="0.3">
      <c r="A28" s="13">
        <v>27</v>
      </c>
      <c r="B28" s="14" t="s">
        <v>47</v>
      </c>
      <c r="C28" s="13">
        <v>2</v>
      </c>
      <c r="D28" s="13">
        <v>3</v>
      </c>
      <c r="E28" s="13" t="s">
        <v>13</v>
      </c>
    </row>
    <row r="29" spans="1:5" s="15" customFormat="1" x14ac:dyDescent="0.3">
      <c r="A29" s="13">
        <v>28</v>
      </c>
      <c r="B29" s="14" t="s">
        <v>48</v>
      </c>
      <c r="C29" s="13">
        <v>2</v>
      </c>
      <c r="D29" s="13">
        <v>3</v>
      </c>
      <c r="E29" s="13" t="s">
        <v>13</v>
      </c>
    </row>
    <row r="30" spans="1:5" s="15" customFormat="1" x14ac:dyDescent="0.3">
      <c r="A30" s="13">
        <v>29</v>
      </c>
      <c r="B30" s="14" t="s">
        <v>49</v>
      </c>
      <c r="C30" s="13">
        <v>2</v>
      </c>
      <c r="D30" s="13">
        <v>3</v>
      </c>
      <c r="E30" s="13" t="s">
        <v>13</v>
      </c>
    </row>
    <row r="31" spans="1:5" s="15" customFormat="1" x14ac:dyDescent="0.3">
      <c r="A31" s="13">
        <v>30</v>
      </c>
      <c r="B31" s="14" t="s">
        <v>50</v>
      </c>
      <c r="C31" s="13">
        <v>2</v>
      </c>
      <c r="D31" s="13">
        <v>4</v>
      </c>
      <c r="E31" s="13" t="s">
        <v>13</v>
      </c>
    </row>
    <row r="32" spans="1:5" s="9" customFormat="1" x14ac:dyDescent="0.3">
      <c r="A32" s="7">
        <v>31</v>
      </c>
      <c r="B32" s="8" t="s">
        <v>51</v>
      </c>
      <c r="C32" s="7">
        <v>3</v>
      </c>
      <c r="D32" s="7">
        <v>4</v>
      </c>
      <c r="E32" s="7" t="s">
        <v>11</v>
      </c>
    </row>
    <row r="33" spans="1:5" s="18" customFormat="1" x14ac:dyDescent="0.3">
      <c r="A33" s="16">
        <v>32</v>
      </c>
      <c r="B33" s="17" t="s">
        <v>52</v>
      </c>
      <c r="C33" s="16">
        <v>3</v>
      </c>
      <c r="D33" s="16">
        <v>2</v>
      </c>
      <c r="E33" s="16" t="s">
        <v>14</v>
      </c>
    </row>
    <row r="34" spans="1:5" s="18" customFormat="1" x14ac:dyDescent="0.3">
      <c r="A34" s="16">
        <v>33</v>
      </c>
      <c r="B34" s="17" t="s">
        <v>53</v>
      </c>
      <c r="C34" s="16">
        <v>3</v>
      </c>
      <c r="D34" s="16">
        <v>2</v>
      </c>
      <c r="E34" s="16" t="s">
        <v>14</v>
      </c>
    </row>
    <row r="35" spans="1:5" s="18" customFormat="1" x14ac:dyDescent="0.3">
      <c r="A35" s="16">
        <v>34</v>
      </c>
      <c r="B35" s="17" t="s">
        <v>54</v>
      </c>
      <c r="C35" s="16">
        <v>3</v>
      </c>
      <c r="D35" s="16">
        <v>2</v>
      </c>
      <c r="E35" s="16" t="s">
        <v>14</v>
      </c>
    </row>
    <row r="36" spans="1:5" s="12" customFormat="1" x14ac:dyDescent="0.3">
      <c r="A36" s="10">
        <v>35</v>
      </c>
      <c r="B36" s="11" t="s">
        <v>55</v>
      </c>
      <c r="C36" s="10">
        <v>1</v>
      </c>
      <c r="D36" s="10">
        <v>2</v>
      </c>
      <c r="E36" s="10" t="s">
        <v>12</v>
      </c>
    </row>
    <row r="37" spans="1:5" s="12" customFormat="1" x14ac:dyDescent="0.3">
      <c r="A37" s="10">
        <v>36</v>
      </c>
      <c r="B37" s="11" t="s">
        <v>56</v>
      </c>
      <c r="C37" s="10">
        <v>2</v>
      </c>
      <c r="D37" s="10">
        <v>2</v>
      </c>
      <c r="E37" s="10" t="s">
        <v>12</v>
      </c>
    </row>
    <row r="38" spans="1:5" s="9" customFormat="1" x14ac:dyDescent="0.3">
      <c r="A38" s="7">
        <v>37</v>
      </c>
      <c r="B38" s="8" t="s">
        <v>57</v>
      </c>
      <c r="C38" s="7">
        <v>3</v>
      </c>
      <c r="D38" s="7">
        <v>3</v>
      </c>
      <c r="E38" s="7" t="s">
        <v>11</v>
      </c>
    </row>
    <row r="39" spans="1:5" s="9" customFormat="1" x14ac:dyDescent="0.3">
      <c r="A39" s="7">
        <v>38</v>
      </c>
      <c r="B39" s="8" t="s">
        <v>58</v>
      </c>
      <c r="C39" s="7">
        <v>3</v>
      </c>
      <c r="D39" s="7">
        <v>3</v>
      </c>
      <c r="E39" s="7" t="s">
        <v>11</v>
      </c>
    </row>
    <row r="40" spans="1:5" s="15" customFormat="1" x14ac:dyDescent="0.3">
      <c r="A40" s="13">
        <v>39</v>
      </c>
      <c r="B40" s="14" t="s">
        <v>59</v>
      </c>
      <c r="C40" s="13">
        <v>1</v>
      </c>
      <c r="D40" s="13">
        <v>3</v>
      </c>
      <c r="E40" s="13" t="s">
        <v>13</v>
      </c>
    </row>
    <row r="41" spans="1:5" s="9" customFormat="1" x14ac:dyDescent="0.3">
      <c r="A41" s="7">
        <v>40</v>
      </c>
      <c r="B41" s="8" t="s">
        <v>60</v>
      </c>
      <c r="C41" s="7">
        <v>3</v>
      </c>
      <c r="D41" s="7">
        <v>3</v>
      </c>
      <c r="E41" s="7" t="s">
        <v>11</v>
      </c>
    </row>
    <row r="42" spans="1:5" s="15" customFormat="1" x14ac:dyDescent="0.3">
      <c r="A42" s="13">
        <v>41</v>
      </c>
      <c r="B42" s="14" t="s">
        <v>61</v>
      </c>
      <c r="C42" s="13">
        <v>2</v>
      </c>
      <c r="D42" s="13">
        <v>3</v>
      </c>
      <c r="E42" s="13" t="s">
        <v>13</v>
      </c>
    </row>
    <row r="43" spans="1:5" s="9" customFormat="1" x14ac:dyDescent="0.3">
      <c r="A43" s="7">
        <v>42</v>
      </c>
      <c r="B43" s="8" t="s">
        <v>62</v>
      </c>
      <c r="C43" s="7">
        <v>3</v>
      </c>
      <c r="D43" s="7">
        <v>3</v>
      </c>
      <c r="E43" s="7" t="s">
        <v>11</v>
      </c>
    </row>
    <row r="44" spans="1:5" s="9" customFormat="1" x14ac:dyDescent="0.3">
      <c r="A44" s="7">
        <v>43</v>
      </c>
      <c r="B44" s="8" t="s">
        <v>63</v>
      </c>
      <c r="C44" s="7">
        <v>3</v>
      </c>
      <c r="D44" s="7">
        <v>3</v>
      </c>
      <c r="E44" s="7" t="s">
        <v>11</v>
      </c>
    </row>
    <row r="45" spans="1:5" s="15" customFormat="1" x14ac:dyDescent="0.3">
      <c r="A45" s="13">
        <v>44</v>
      </c>
      <c r="B45" s="14" t="s">
        <v>64</v>
      </c>
      <c r="C45" s="13">
        <v>1</v>
      </c>
      <c r="D45" s="13">
        <v>3</v>
      </c>
      <c r="E45" s="13" t="s">
        <v>13</v>
      </c>
    </row>
    <row r="46" spans="1:5" s="15" customFormat="1" x14ac:dyDescent="0.3">
      <c r="A46" s="13">
        <v>45</v>
      </c>
      <c r="B46" s="14" t="s">
        <v>65</v>
      </c>
      <c r="C46" s="13">
        <v>1</v>
      </c>
      <c r="D46" s="13">
        <v>3</v>
      </c>
      <c r="E46" s="13" t="s">
        <v>13</v>
      </c>
    </row>
    <row r="47" spans="1:5" s="18" customFormat="1" x14ac:dyDescent="0.3">
      <c r="A47" s="16">
        <v>46</v>
      </c>
      <c r="B47" s="17" t="s">
        <v>66</v>
      </c>
      <c r="C47" s="16">
        <v>3</v>
      </c>
      <c r="D47" s="16">
        <v>1</v>
      </c>
      <c r="E47" s="16" t="s">
        <v>14</v>
      </c>
    </row>
    <row r="48" spans="1:5" s="9" customFormat="1" x14ac:dyDescent="0.3">
      <c r="A48" s="7">
        <v>47</v>
      </c>
      <c r="B48" s="8" t="s">
        <v>67</v>
      </c>
      <c r="C48" s="7">
        <v>3</v>
      </c>
      <c r="D48" s="7">
        <v>4</v>
      </c>
      <c r="E48" s="7" t="s">
        <v>11</v>
      </c>
    </row>
    <row r="49" spans="1:5" s="9" customFormat="1" x14ac:dyDescent="0.3">
      <c r="A49" s="7">
        <v>48</v>
      </c>
      <c r="B49" s="8" t="s">
        <v>68</v>
      </c>
      <c r="C49" s="7">
        <v>3</v>
      </c>
      <c r="D49" s="7">
        <v>4</v>
      </c>
      <c r="E49" s="7" t="s">
        <v>11</v>
      </c>
    </row>
    <row r="50" spans="1:5" s="9" customFormat="1" x14ac:dyDescent="0.3">
      <c r="A50" s="7">
        <v>49</v>
      </c>
      <c r="B50" s="8" t="s">
        <v>69</v>
      </c>
      <c r="C50" s="7">
        <v>3</v>
      </c>
      <c r="D50" s="7">
        <v>3</v>
      </c>
      <c r="E50" s="7" t="s">
        <v>11</v>
      </c>
    </row>
    <row r="51" spans="1:5" x14ac:dyDescent="0.3">
      <c r="B51" s="3"/>
    </row>
    <row r="52" spans="1:5" x14ac:dyDescent="0.3">
      <c r="B52" s="3" t="s">
        <v>246</v>
      </c>
      <c r="C52" s="4">
        <v>25</v>
      </c>
    </row>
    <row r="53" spans="1:5" x14ac:dyDescent="0.3">
      <c r="B53" s="3" t="s">
        <v>247</v>
      </c>
      <c r="C53" s="4">
        <v>3</v>
      </c>
    </row>
    <row r="54" spans="1:5" x14ac:dyDescent="0.3">
      <c r="B54" s="3" t="s">
        <v>248</v>
      </c>
      <c r="C54" s="4">
        <v>12</v>
      </c>
    </row>
    <row r="55" spans="1:5" x14ac:dyDescent="0.3">
      <c r="B55" s="3" t="s">
        <v>249</v>
      </c>
      <c r="C55" s="4">
        <v>9</v>
      </c>
    </row>
    <row r="56" spans="1:5" x14ac:dyDescent="0.3">
      <c r="B56" s="3"/>
    </row>
    <row r="57" spans="1:5" x14ac:dyDescent="0.3">
      <c r="B57" s="3" t="s">
        <v>258</v>
      </c>
      <c r="C57" s="4">
        <v>116</v>
      </c>
    </row>
    <row r="58" spans="1:5" x14ac:dyDescent="0.3">
      <c r="B58" s="3" t="s">
        <v>259</v>
      </c>
      <c r="C58" s="4">
        <v>24</v>
      </c>
    </row>
    <row r="59" spans="1:5" x14ac:dyDescent="0.3">
      <c r="B59" s="3" t="s">
        <v>260</v>
      </c>
      <c r="C59" s="4">
        <v>53</v>
      </c>
    </row>
    <row r="60" spans="1:5" x14ac:dyDescent="0.3">
      <c r="B60" s="3" t="s">
        <v>261</v>
      </c>
      <c r="C60" s="4">
        <v>19</v>
      </c>
    </row>
    <row r="61" spans="1:5" x14ac:dyDescent="0.3">
      <c r="B61" s="3"/>
    </row>
    <row r="62" spans="1:5" x14ac:dyDescent="0.3">
      <c r="B62" s="3"/>
    </row>
    <row r="63" spans="1:5" x14ac:dyDescent="0.3">
      <c r="B63" s="3"/>
    </row>
    <row r="64" spans="1:5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</sheetData>
  <dataValidations count="1">
    <dataValidation type="whole" allowBlank="1" showInputMessage="1" showErrorMessage="1" sqref="D2:D16379" xr:uid="{7F669241-BB37-4CF2-A5E0-18B5BD3549B1}">
      <formula1>0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9787-FCED-4AFD-814A-7FC6259B0388}">
  <dimension ref="A1:E256"/>
  <sheetViews>
    <sheetView zoomScale="50" zoomScaleNormal="50" workbookViewId="0">
      <selection activeCell="I14" sqref="I14"/>
    </sheetView>
  </sheetViews>
  <sheetFormatPr defaultRowHeight="15.6" x14ac:dyDescent="0.3"/>
  <cols>
    <col min="1" max="1" width="4.21875" style="4" bestFit="1" customWidth="1"/>
    <col min="2" max="2" width="33.5546875" style="2" customWidth="1"/>
    <col min="3" max="3" width="21" style="4" customWidth="1"/>
    <col min="4" max="4" width="17" style="4" customWidth="1"/>
    <col min="5" max="5" width="17.88671875" style="4" customWidth="1"/>
  </cols>
  <sheetData>
    <row r="1" spans="1:5" x14ac:dyDescent="0.3">
      <c r="A1" s="4" t="s">
        <v>15</v>
      </c>
      <c r="B1" s="4" t="s">
        <v>6</v>
      </c>
      <c r="C1" s="4" t="s">
        <v>7</v>
      </c>
      <c r="D1" s="4" t="s">
        <v>9</v>
      </c>
      <c r="E1" s="4" t="s">
        <v>10</v>
      </c>
    </row>
    <row r="2" spans="1:5" s="9" customFormat="1" x14ac:dyDescent="0.3">
      <c r="A2" s="7">
        <v>1</v>
      </c>
      <c r="B2" s="8" t="s">
        <v>21</v>
      </c>
      <c r="C2" s="7">
        <v>4</v>
      </c>
      <c r="D2" s="7">
        <v>4</v>
      </c>
      <c r="E2" s="7" t="s">
        <v>11</v>
      </c>
    </row>
    <row r="3" spans="1:5" s="9" customFormat="1" x14ac:dyDescent="0.3">
      <c r="A3" s="7">
        <v>2</v>
      </c>
      <c r="B3" s="8" t="s">
        <v>22</v>
      </c>
      <c r="C3" s="7">
        <v>3</v>
      </c>
      <c r="D3" s="7">
        <v>3</v>
      </c>
      <c r="E3" s="7" t="s">
        <v>11</v>
      </c>
    </row>
    <row r="4" spans="1:5" s="15" customFormat="1" x14ac:dyDescent="0.3">
      <c r="A4" s="13">
        <v>3</v>
      </c>
      <c r="B4" s="14" t="s">
        <v>23</v>
      </c>
      <c r="C4" s="13">
        <v>1</v>
      </c>
      <c r="D4" s="13">
        <v>3</v>
      </c>
      <c r="E4" s="13" t="s">
        <v>13</v>
      </c>
    </row>
    <row r="5" spans="1:5" s="9" customFormat="1" x14ac:dyDescent="0.3">
      <c r="A5" s="7">
        <v>4</v>
      </c>
      <c r="B5" s="8" t="s">
        <v>24</v>
      </c>
      <c r="C5" s="7">
        <v>3</v>
      </c>
      <c r="D5" s="7">
        <v>3</v>
      </c>
      <c r="E5" s="7" t="s">
        <v>11</v>
      </c>
    </row>
    <row r="6" spans="1:5" s="9" customFormat="1" x14ac:dyDescent="0.3">
      <c r="A6" s="7">
        <v>5</v>
      </c>
      <c r="B6" s="8" t="s">
        <v>25</v>
      </c>
      <c r="C6" s="7">
        <v>3</v>
      </c>
      <c r="D6" s="7">
        <v>3</v>
      </c>
      <c r="E6" s="7" t="s">
        <v>11</v>
      </c>
    </row>
    <row r="7" spans="1:5" s="9" customFormat="1" x14ac:dyDescent="0.3">
      <c r="A7" s="7">
        <v>6</v>
      </c>
      <c r="B7" s="8" t="s">
        <v>26</v>
      </c>
      <c r="C7" s="7">
        <v>3</v>
      </c>
      <c r="D7" s="7">
        <v>4</v>
      </c>
      <c r="E7" s="7" t="s">
        <v>11</v>
      </c>
    </row>
    <row r="8" spans="1:5" s="15" customFormat="1" x14ac:dyDescent="0.3">
      <c r="A8" s="13">
        <v>7</v>
      </c>
      <c r="B8" s="14" t="s">
        <v>27</v>
      </c>
      <c r="C8" s="13">
        <v>1</v>
      </c>
      <c r="D8" s="13">
        <v>3</v>
      </c>
      <c r="E8" s="13" t="s">
        <v>13</v>
      </c>
    </row>
    <row r="9" spans="1:5" s="15" customFormat="1" x14ac:dyDescent="0.3">
      <c r="A9" s="13">
        <v>8</v>
      </c>
      <c r="B9" s="14" t="s">
        <v>28</v>
      </c>
      <c r="C9" s="13">
        <v>2</v>
      </c>
      <c r="D9" s="13">
        <v>3</v>
      </c>
      <c r="E9" s="13" t="s">
        <v>13</v>
      </c>
    </row>
    <row r="10" spans="1:5" s="9" customFormat="1" x14ac:dyDescent="0.3">
      <c r="A10" s="7">
        <v>9</v>
      </c>
      <c r="B10" s="8" t="s">
        <v>29</v>
      </c>
      <c r="C10" s="7">
        <v>3</v>
      </c>
      <c r="D10" s="7">
        <v>3</v>
      </c>
      <c r="E10" s="7" t="s">
        <v>11</v>
      </c>
    </row>
    <row r="11" spans="1:5" s="9" customFormat="1" x14ac:dyDescent="0.3">
      <c r="A11" s="7">
        <v>10</v>
      </c>
      <c r="B11" s="8" t="s">
        <v>30</v>
      </c>
      <c r="C11" s="7">
        <v>3</v>
      </c>
      <c r="D11" s="7">
        <v>3</v>
      </c>
      <c r="E11" s="7" t="s">
        <v>11</v>
      </c>
    </row>
    <row r="12" spans="1:5" s="18" customFormat="1" x14ac:dyDescent="0.3">
      <c r="A12" s="16">
        <v>11</v>
      </c>
      <c r="B12" s="17" t="s">
        <v>31</v>
      </c>
      <c r="C12" s="16">
        <v>3</v>
      </c>
      <c r="D12" s="16">
        <v>2</v>
      </c>
      <c r="E12" s="16" t="s">
        <v>14</v>
      </c>
    </row>
    <row r="13" spans="1:5" s="9" customFormat="1" x14ac:dyDescent="0.3">
      <c r="A13" s="7">
        <v>12</v>
      </c>
      <c r="B13" s="8" t="s">
        <v>32</v>
      </c>
      <c r="C13" s="7">
        <v>3</v>
      </c>
      <c r="D13" s="7">
        <v>3</v>
      </c>
      <c r="E13" s="7" t="s">
        <v>11</v>
      </c>
    </row>
    <row r="14" spans="1:5" s="9" customFormat="1" x14ac:dyDescent="0.3">
      <c r="A14" s="7">
        <v>13</v>
      </c>
      <c r="B14" s="8" t="s">
        <v>33</v>
      </c>
      <c r="C14" s="7">
        <v>3</v>
      </c>
      <c r="D14" s="7">
        <v>3</v>
      </c>
      <c r="E14" s="7" t="s">
        <v>11</v>
      </c>
    </row>
    <row r="15" spans="1:5" s="9" customFormat="1" x14ac:dyDescent="0.3">
      <c r="A15" s="7">
        <v>14</v>
      </c>
      <c r="B15" s="8" t="s">
        <v>34</v>
      </c>
      <c r="C15" s="7">
        <v>3</v>
      </c>
      <c r="D15" s="7">
        <v>4</v>
      </c>
      <c r="E15" s="7" t="s">
        <v>11</v>
      </c>
    </row>
    <row r="16" spans="1:5" s="9" customFormat="1" x14ac:dyDescent="0.3">
      <c r="A16" s="7">
        <v>15</v>
      </c>
      <c r="B16" s="8" t="s">
        <v>35</v>
      </c>
      <c r="C16" s="7">
        <v>3</v>
      </c>
      <c r="D16" s="7">
        <v>4</v>
      </c>
      <c r="E16" s="7" t="s">
        <v>11</v>
      </c>
    </row>
    <row r="17" spans="1:5" s="9" customFormat="1" x14ac:dyDescent="0.3">
      <c r="A17" s="7">
        <v>16</v>
      </c>
      <c r="B17" s="8" t="s">
        <v>36</v>
      </c>
      <c r="C17" s="7">
        <v>4</v>
      </c>
      <c r="D17" s="7">
        <v>4</v>
      </c>
      <c r="E17" s="7" t="s">
        <v>11</v>
      </c>
    </row>
    <row r="18" spans="1:5" s="15" customFormat="1" x14ac:dyDescent="0.3">
      <c r="A18" s="13">
        <v>17</v>
      </c>
      <c r="B18" s="14" t="s">
        <v>37</v>
      </c>
      <c r="C18" s="13">
        <v>1</v>
      </c>
      <c r="D18" s="13">
        <v>3</v>
      </c>
      <c r="E18" s="13" t="s">
        <v>13</v>
      </c>
    </row>
    <row r="19" spans="1:5" s="9" customFormat="1" x14ac:dyDescent="0.3">
      <c r="A19" s="7">
        <v>18</v>
      </c>
      <c r="B19" s="8" t="s">
        <v>38</v>
      </c>
      <c r="C19" s="7">
        <v>3</v>
      </c>
      <c r="D19" s="7">
        <v>4</v>
      </c>
      <c r="E19" s="7" t="s">
        <v>11</v>
      </c>
    </row>
    <row r="20" spans="1:5" s="9" customFormat="1" x14ac:dyDescent="0.3">
      <c r="A20" s="7">
        <v>19</v>
      </c>
      <c r="B20" s="8" t="s">
        <v>39</v>
      </c>
      <c r="C20" s="7">
        <v>3</v>
      </c>
      <c r="D20" s="7">
        <v>3</v>
      </c>
      <c r="E20" s="7" t="s">
        <v>11</v>
      </c>
    </row>
    <row r="21" spans="1:5" s="9" customFormat="1" x14ac:dyDescent="0.3">
      <c r="A21" s="7">
        <v>20</v>
      </c>
      <c r="B21" s="8" t="s">
        <v>40</v>
      </c>
      <c r="C21" s="7">
        <v>3</v>
      </c>
      <c r="D21" s="7">
        <v>4</v>
      </c>
      <c r="E21" s="7" t="s">
        <v>11</v>
      </c>
    </row>
    <row r="22" spans="1:5" s="9" customFormat="1" x14ac:dyDescent="0.3">
      <c r="A22" s="7">
        <v>21</v>
      </c>
      <c r="B22" s="8" t="s">
        <v>41</v>
      </c>
      <c r="C22" s="7">
        <v>3</v>
      </c>
      <c r="D22" s="7">
        <v>3</v>
      </c>
      <c r="E22" s="7" t="s">
        <v>11</v>
      </c>
    </row>
    <row r="23" spans="1:5" s="9" customFormat="1" x14ac:dyDescent="0.3">
      <c r="A23" s="7">
        <v>22</v>
      </c>
      <c r="B23" s="8" t="s">
        <v>42</v>
      </c>
      <c r="C23" s="7">
        <v>3</v>
      </c>
      <c r="D23" s="7">
        <v>3</v>
      </c>
      <c r="E23" s="7" t="s">
        <v>11</v>
      </c>
    </row>
    <row r="24" spans="1:5" s="15" customFormat="1" x14ac:dyDescent="0.3">
      <c r="A24" s="13">
        <v>23</v>
      </c>
      <c r="B24" s="14" t="s">
        <v>44</v>
      </c>
      <c r="C24" s="13">
        <v>2</v>
      </c>
      <c r="D24" s="13">
        <v>4</v>
      </c>
      <c r="E24" s="13" t="s">
        <v>13</v>
      </c>
    </row>
    <row r="25" spans="1:5" s="9" customFormat="1" x14ac:dyDescent="0.3">
      <c r="A25" s="7">
        <v>24</v>
      </c>
      <c r="B25" s="8" t="s">
        <v>43</v>
      </c>
      <c r="C25" s="7">
        <v>3</v>
      </c>
      <c r="D25" s="7">
        <v>4</v>
      </c>
      <c r="E25" s="7" t="s">
        <v>11</v>
      </c>
    </row>
    <row r="26" spans="1:5" s="9" customFormat="1" x14ac:dyDescent="0.3">
      <c r="A26" s="7">
        <v>25</v>
      </c>
      <c r="B26" s="8" t="s">
        <v>45</v>
      </c>
      <c r="C26" s="7">
        <v>3</v>
      </c>
      <c r="D26" s="7">
        <v>4</v>
      </c>
      <c r="E26" s="7" t="s">
        <v>11</v>
      </c>
    </row>
    <row r="27" spans="1:5" s="9" customFormat="1" x14ac:dyDescent="0.3">
      <c r="A27" s="7">
        <v>26</v>
      </c>
      <c r="B27" s="8" t="s">
        <v>46</v>
      </c>
      <c r="C27" s="7">
        <v>3</v>
      </c>
      <c r="D27" s="7">
        <v>4</v>
      </c>
      <c r="E27" s="7" t="s">
        <v>11</v>
      </c>
    </row>
    <row r="28" spans="1:5" s="12" customFormat="1" x14ac:dyDescent="0.3">
      <c r="A28" s="10">
        <v>27</v>
      </c>
      <c r="B28" s="11" t="s">
        <v>47</v>
      </c>
      <c r="C28" s="10">
        <v>2</v>
      </c>
      <c r="D28" s="10">
        <v>2</v>
      </c>
      <c r="E28" s="10" t="s">
        <v>12</v>
      </c>
    </row>
    <row r="29" spans="1:5" s="15" customFormat="1" x14ac:dyDescent="0.3">
      <c r="A29" s="13">
        <v>28</v>
      </c>
      <c r="B29" s="14" t="s">
        <v>48</v>
      </c>
      <c r="C29" s="13">
        <v>2</v>
      </c>
      <c r="D29" s="13">
        <v>3</v>
      </c>
      <c r="E29" s="13" t="s">
        <v>13</v>
      </c>
    </row>
    <row r="30" spans="1:5" s="15" customFormat="1" x14ac:dyDescent="0.3">
      <c r="A30" s="13">
        <v>29</v>
      </c>
      <c r="B30" s="14" t="s">
        <v>49</v>
      </c>
      <c r="C30" s="13">
        <v>2</v>
      </c>
      <c r="D30" s="13">
        <v>3</v>
      </c>
      <c r="E30" s="13" t="s">
        <v>13</v>
      </c>
    </row>
    <row r="31" spans="1:5" s="12" customFormat="1" x14ac:dyDescent="0.3">
      <c r="A31" s="10">
        <v>30</v>
      </c>
      <c r="B31" s="11" t="s">
        <v>50</v>
      </c>
      <c r="C31" s="10">
        <v>2</v>
      </c>
      <c r="D31" s="10">
        <v>2</v>
      </c>
      <c r="E31" s="10" t="s">
        <v>12</v>
      </c>
    </row>
    <row r="32" spans="1:5" s="9" customFormat="1" x14ac:dyDescent="0.3">
      <c r="A32" s="7">
        <v>31</v>
      </c>
      <c r="B32" s="8" t="s">
        <v>51</v>
      </c>
      <c r="C32" s="7">
        <v>3</v>
      </c>
      <c r="D32" s="7">
        <v>3</v>
      </c>
      <c r="E32" s="7" t="s">
        <v>11</v>
      </c>
    </row>
    <row r="33" spans="1:5" s="18" customFormat="1" x14ac:dyDescent="0.3">
      <c r="A33" s="16">
        <v>32</v>
      </c>
      <c r="B33" s="17" t="s">
        <v>52</v>
      </c>
      <c r="C33" s="16">
        <v>3</v>
      </c>
      <c r="D33" s="16">
        <v>1</v>
      </c>
      <c r="E33" s="16" t="s">
        <v>14</v>
      </c>
    </row>
    <row r="34" spans="1:5" s="9" customFormat="1" x14ac:dyDescent="0.3">
      <c r="A34" s="7">
        <v>33</v>
      </c>
      <c r="B34" s="8" t="s">
        <v>53</v>
      </c>
      <c r="C34" s="7">
        <v>3</v>
      </c>
      <c r="D34" s="7">
        <v>3</v>
      </c>
      <c r="E34" s="7" t="s">
        <v>11</v>
      </c>
    </row>
    <row r="35" spans="1:5" s="9" customFormat="1" x14ac:dyDescent="0.3">
      <c r="A35" s="7">
        <v>34</v>
      </c>
      <c r="B35" s="8" t="s">
        <v>54</v>
      </c>
      <c r="C35" s="7">
        <v>3</v>
      </c>
      <c r="D35" s="7">
        <v>3</v>
      </c>
      <c r="E35" s="7" t="s">
        <v>11</v>
      </c>
    </row>
    <row r="36" spans="1:5" s="12" customFormat="1" x14ac:dyDescent="0.3">
      <c r="A36" s="10">
        <v>35</v>
      </c>
      <c r="B36" s="11" t="s">
        <v>55</v>
      </c>
      <c r="C36" s="10">
        <v>1</v>
      </c>
      <c r="D36" s="10">
        <v>2</v>
      </c>
      <c r="E36" s="10" t="s">
        <v>12</v>
      </c>
    </row>
    <row r="37" spans="1:5" s="15" customFormat="1" x14ac:dyDescent="0.3">
      <c r="A37" s="13">
        <v>36</v>
      </c>
      <c r="B37" s="14" t="s">
        <v>56</v>
      </c>
      <c r="C37" s="13">
        <v>2</v>
      </c>
      <c r="D37" s="13">
        <v>3</v>
      </c>
      <c r="E37" s="13" t="s">
        <v>13</v>
      </c>
    </row>
    <row r="38" spans="1:5" s="9" customFormat="1" x14ac:dyDescent="0.3">
      <c r="A38" s="7">
        <v>37</v>
      </c>
      <c r="B38" s="8" t="s">
        <v>57</v>
      </c>
      <c r="C38" s="7">
        <v>3</v>
      </c>
      <c r="D38" s="7">
        <v>3</v>
      </c>
      <c r="E38" s="7" t="s">
        <v>11</v>
      </c>
    </row>
    <row r="39" spans="1:5" s="9" customFormat="1" x14ac:dyDescent="0.3">
      <c r="A39" s="7">
        <v>38</v>
      </c>
      <c r="B39" s="8" t="s">
        <v>58</v>
      </c>
      <c r="C39" s="7">
        <v>3</v>
      </c>
      <c r="D39" s="7">
        <v>3</v>
      </c>
      <c r="E39" s="7" t="s">
        <v>11</v>
      </c>
    </row>
    <row r="40" spans="1:5" s="12" customFormat="1" x14ac:dyDescent="0.3">
      <c r="A40" s="10">
        <v>39</v>
      </c>
      <c r="B40" s="11" t="s">
        <v>59</v>
      </c>
      <c r="C40" s="10">
        <v>1</v>
      </c>
      <c r="D40" s="10">
        <v>2</v>
      </c>
      <c r="E40" s="10" t="s">
        <v>12</v>
      </c>
    </row>
    <row r="41" spans="1:5" s="18" customFormat="1" x14ac:dyDescent="0.3">
      <c r="A41" s="16">
        <v>40</v>
      </c>
      <c r="B41" s="17" t="s">
        <v>60</v>
      </c>
      <c r="C41" s="16">
        <v>3</v>
      </c>
      <c r="D41" s="16">
        <v>2</v>
      </c>
      <c r="E41" s="16" t="s">
        <v>14</v>
      </c>
    </row>
    <row r="42" spans="1:5" s="12" customFormat="1" x14ac:dyDescent="0.3">
      <c r="A42" s="10">
        <v>41</v>
      </c>
      <c r="B42" s="11" t="s">
        <v>61</v>
      </c>
      <c r="C42" s="10">
        <v>2</v>
      </c>
      <c r="D42" s="10">
        <v>2</v>
      </c>
      <c r="E42" s="10" t="s">
        <v>12</v>
      </c>
    </row>
    <row r="43" spans="1:5" s="9" customFormat="1" x14ac:dyDescent="0.3">
      <c r="A43" s="7">
        <v>42</v>
      </c>
      <c r="B43" s="8" t="s">
        <v>62</v>
      </c>
      <c r="C43" s="7">
        <v>3</v>
      </c>
      <c r="D43" s="7">
        <v>3</v>
      </c>
      <c r="E43" s="7" t="s">
        <v>11</v>
      </c>
    </row>
    <row r="44" spans="1:5" s="9" customFormat="1" x14ac:dyDescent="0.3">
      <c r="A44" s="7">
        <v>43</v>
      </c>
      <c r="B44" s="8" t="s">
        <v>63</v>
      </c>
      <c r="C44" s="7">
        <v>3</v>
      </c>
      <c r="D44" s="7">
        <v>3</v>
      </c>
      <c r="E44" s="7" t="s">
        <v>11</v>
      </c>
    </row>
    <row r="45" spans="1:5" s="15" customFormat="1" x14ac:dyDescent="0.3">
      <c r="A45" s="13">
        <v>44</v>
      </c>
      <c r="B45" s="14" t="s">
        <v>64</v>
      </c>
      <c r="C45" s="13">
        <v>1</v>
      </c>
      <c r="D45" s="13">
        <v>3</v>
      </c>
      <c r="E45" s="13" t="s">
        <v>13</v>
      </c>
    </row>
    <row r="46" spans="1:5" s="12" customFormat="1" x14ac:dyDescent="0.3">
      <c r="A46" s="10">
        <v>45</v>
      </c>
      <c r="B46" s="11" t="s">
        <v>65</v>
      </c>
      <c r="C46" s="10">
        <v>1</v>
      </c>
      <c r="D46" s="10">
        <v>2</v>
      </c>
      <c r="E46" s="10" t="s">
        <v>12</v>
      </c>
    </row>
    <row r="47" spans="1:5" s="9" customFormat="1" x14ac:dyDescent="0.3">
      <c r="A47" s="7">
        <v>46</v>
      </c>
      <c r="B47" s="8" t="s">
        <v>66</v>
      </c>
      <c r="C47" s="7">
        <v>3</v>
      </c>
      <c r="D47" s="7">
        <v>4</v>
      </c>
      <c r="E47" s="7" t="s">
        <v>11</v>
      </c>
    </row>
    <row r="48" spans="1:5" s="9" customFormat="1" x14ac:dyDescent="0.3">
      <c r="A48" s="7">
        <v>47</v>
      </c>
      <c r="B48" s="8" t="s">
        <v>67</v>
      </c>
      <c r="C48" s="7">
        <v>3</v>
      </c>
      <c r="D48" s="7">
        <v>3</v>
      </c>
      <c r="E48" s="7" t="s">
        <v>11</v>
      </c>
    </row>
    <row r="49" spans="1:5" s="9" customFormat="1" x14ac:dyDescent="0.3">
      <c r="A49" s="7">
        <v>48</v>
      </c>
      <c r="B49" s="8" t="s">
        <v>68</v>
      </c>
      <c r="C49" s="7">
        <v>3</v>
      </c>
      <c r="D49" s="7">
        <v>3</v>
      </c>
      <c r="E49" s="7" t="s">
        <v>11</v>
      </c>
    </row>
    <row r="50" spans="1:5" s="9" customFormat="1" x14ac:dyDescent="0.3">
      <c r="A50" s="7">
        <v>49</v>
      </c>
      <c r="B50" s="8" t="s">
        <v>69</v>
      </c>
      <c r="C50" s="7">
        <v>3</v>
      </c>
      <c r="D50" s="7">
        <v>3</v>
      </c>
      <c r="E50" s="7" t="s">
        <v>11</v>
      </c>
    </row>
    <row r="51" spans="1:5" x14ac:dyDescent="0.3">
      <c r="B51" s="3"/>
    </row>
    <row r="52" spans="1:5" x14ac:dyDescent="0.3">
      <c r="B52" s="3" t="s">
        <v>250</v>
      </c>
      <c r="C52" s="4">
        <v>31</v>
      </c>
    </row>
    <row r="53" spans="1:5" x14ac:dyDescent="0.3">
      <c r="B53" s="3" t="s">
        <v>251</v>
      </c>
      <c r="C53" s="4">
        <v>6</v>
      </c>
    </row>
    <row r="54" spans="1:5" x14ac:dyDescent="0.3">
      <c r="B54" s="3" t="s">
        <v>252</v>
      </c>
      <c r="C54" s="4">
        <v>9</v>
      </c>
    </row>
    <row r="55" spans="1:5" x14ac:dyDescent="0.3">
      <c r="B55" s="3" t="s">
        <v>253</v>
      </c>
      <c r="C55" s="4">
        <v>3</v>
      </c>
    </row>
    <row r="56" spans="1:5" x14ac:dyDescent="0.3">
      <c r="B56" s="3"/>
    </row>
    <row r="57" spans="1:5" x14ac:dyDescent="0.3">
      <c r="B57" s="3" t="s">
        <v>262</v>
      </c>
      <c r="C57" s="4">
        <v>119</v>
      </c>
    </row>
    <row r="58" spans="1:5" x14ac:dyDescent="0.3">
      <c r="B58" s="3" t="s">
        <v>263</v>
      </c>
      <c r="C58" s="4">
        <v>35</v>
      </c>
    </row>
    <row r="59" spans="1:5" x14ac:dyDescent="0.3">
      <c r="B59" s="3" t="s">
        <v>264</v>
      </c>
      <c r="C59" s="4">
        <v>42</v>
      </c>
    </row>
    <row r="60" spans="1:5" x14ac:dyDescent="0.3">
      <c r="B60" s="3" t="s">
        <v>265</v>
      </c>
      <c r="C60" s="4">
        <v>16</v>
      </c>
    </row>
    <row r="61" spans="1:5" x14ac:dyDescent="0.3">
      <c r="B61" s="3"/>
    </row>
    <row r="62" spans="1:5" x14ac:dyDescent="0.3">
      <c r="B62" s="3"/>
    </row>
    <row r="63" spans="1:5" x14ac:dyDescent="0.3">
      <c r="B63" s="3"/>
    </row>
    <row r="64" spans="1:5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</sheetData>
  <dataValidations count="3">
    <dataValidation type="whole" allowBlank="1" showInputMessage="1" showErrorMessage="1" sqref="D16 D23" xr:uid="{873F7E5D-2CD6-44A4-9022-09A115890D60}">
      <formula1>0</formula1>
      <formula2>12</formula2>
    </dataValidation>
    <dataValidation type="whole" allowBlank="1" showInputMessage="1" showErrorMessage="1" sqref="D24:D25 D29 D36:D37 D39 D41 D43 D45:D46 D48:D50 D62 D67 D69 D76 D78 D80:D81 D88 D90 D92 D95:D97 D99:D100 D104 D118 D120 D122 D124 D128 D132:D134 D138:D139 D141 D144 D147:D148 D151 D153 D158 D163 D166 D173:D174 D177 D183 D186 D188 D194 D196:D197 D209:D211 D214:D216 D219 D222 D228 D230:D232 D234:D235 D240 D250 D254 D256 D74" xr:uid="{04CF5937-1A25-48A6-A577-C58B8788977B}">
      <formula1>0</formula1>
      <formula2>7</formula2>
    </dataValidation>
    <dataValidation type="whole" allowBlank="1" showInputMessage="1" showErrorMessage="1" sqref="D257:D16379 D2:D15 D17:D22 D26:D28 D30:D35 D42 D40 D38 D47 D44 D70:D73 D68 D63:D66 D77 D79 D82:D87 D93:D94 D91 D89 D101:D103 D98 D51:D61 D123 D121 D119 D105:D117 D135:D137 D129:D131 D145:D146 D142:D143 D140 D152 D149:D150 D161:D162 D159 D154:D157 D167:D172 D164:D165 D175:D176 D184:D185 D178:D182 D195 D189:D193 D187 D212:D213 D198:D208 D220:D221 D217:D218 D233 D229 D223:D227 D236:D239 D251:D253 D241:D249 D255 D125:D127 D75" xr:uid="{443CD533-E2B9-4E6C-81AB-E0C67BE0AB6C}">
      <formula1>0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69E0-5E10-4382-A815-015E85EDAE0F}">
  <dimension ref="A1:E60"/>
  <sheetViews>
    <sheetView zoomScale="50" zoomScaleNormal="50" workbookViewId="0">
      <selection activeCell="L56" sqref="L56"/>
    </sheetView>
  </sheetViews>
  <sheetFormatPr defaultRowHeight="15.6" x14ac:dyDescent="0.3"/>
  <cols>
    <col min="1" max="1" width="4.44140625" bestFit="1" customWidth="1"/>
    <col min="2" max="2" width="43" customWidth="1"/>
    <col min="3" max="3" width="19.6640625" bestFit="1" customWidth="1"/>
    <col min="4" max="4" width="16.77734375" style="24" customWidth="1"/>
    <col min="5" max="5" width="22.88671875" customWidth="1"/>
  </cols>
  <sheetData>
    <row r="1" spans="1:5" x14ac:dyDescent="0.3">
      <c r="A1" s="4" t="s">
        <v>15</v>
      </c>
      <c r="B1" s="4" t="s">
        <v>6</v>
      </c>
      <c r="C1" s="4" t="s">
        <v>7</v>
      </c>
      <c r="D1" s="4" t="s">
        <v>9</v>
      </c>
      <c r="E1" s="4" t="s">
        <v>10</v>
      </c>
    </row>
    <row r="2" spans="1:5" s="9" customFormat="1" x14ac:dyDescent="0.3">
      <c r="A2" s="7">
        <v>1</v>
      </c>
      <c r="B2" s="8" t="s">
        <v>21</v>
      </c>
      <c r="C2" s="7">
        <v>4</v>
      </c>
      <c r="D2" s="7">
        <v>4</v>
      </c>
      <c r="E2" s="7" t="s">
        <v>11</v>
      </c>
    </row>
    <row r="3" spans="1:5" s="9" customFormat="1" x14ac:dyDescent="0.3">
      <c r="A3" s="7">
        <v>2</v>
      </c>
      <c r="B3" s="8" t="s">
        <v>22</v>
      </c>
      <c r="C3" s="7">
        <v>3</v>
      </c>
      <c r="D3" s="7">
        <v>3</v>
      </c>
      <c r="E3" s="7" t="s">
        <v>11</v>
      </c>
    </row>
    <row r="4" spans="1:5" s="12" customFormat="1" x14ac:dyDescent="0.3">
      <c r="A4" s="10">
        <v>3</v>
      </c>
      <c r="B4" s="11" t="s">
        <v>23</v>
      </c>
      <c r="C4" s="10">
        <v>1</v>
      </c>
      <c r="D4" s="10">
        <v>2</v>
      </c>
      <c r="E4" s="10" t="s">
        <v>12</v>
      </c>
    </row>
    <row r="5" spans="1:5" s="9" customFormat="1" x14ac:dyDescent="0.3">
      <c r="A5" s="7">
        <v>4</v>
      </c>
      <c r="B5" s="8" t="s">
        <v>24</v>
      </c>
      <c r="C5" s="7">
        <v>3</v>
      </c>
      <c r="D5" s="7">
        <v>3</v>
      </c>
      <c r="E5" s="7" t="s">
        <v>11</v>
      </c>
    </row>
    <row r="6" spans="1:5" s="9" customFormat="1" x14ac:dyDescent="0.3">
      <c r="A6" s="7">
        <v>5</v>
      </c>
      <c r="B6" s="8" t="s">
        <v>25</v>
      </c>
      <c r="C6" s="7">
        <v>3</v>
      </c>
      <c r="D6" s="7">
        <v>3</v>
      </c>
      <c r="E6" s="7" t="s">
        <v>11</v>
      </c>
    </row>
    <row r="7" spans="1:5" s="9" customFormat="1" x14ac:dyDescent="0.3">
      <c r="A7" s="7">
        <v>6</v>
      </c>
      <c r="B7" s="8" t="s">
        <v>26</v>
      </c>
      <c r="C7" s="7">
        <v>3</v>
      </c>
      <c r="D7" s="7">
        <v>4</v>
      </c>
      <c r="E7" s="7" t="s">
        <v>11</v>
      </c>
    </row>
    <row r="8" spans="1:5" s="15" customFormat="1" x14ac:dyDescent="0.3">
      <c r="A8" s="13">
        <v>7</v>
      </c>
      <c r="B8" s="14" t="s">
        <v>27</v>
      </c>
      <c r="C8" s="13">
        <v>1</v>
      </c>
      <c r="D8" s="13">
        <v>3</v>
      </c>
      <c r="E8" s="13" t="s">
        <v>13</v>
      </c>
    </row>
    <row r="9" spans="1:5" s="15" customFormat="1" x14ac:dyDescent="0.3">
      <c r="A9" s="13">
        <v>8</v>
      </c>
      <c r="B9" s="14" t="s">
        <v>28</v>
      </c>
      <c r="C9" s="13">
        <v>2</v>
      </c>
      <c r="D9" s="13">
        <v>3</v>
      </c>
      <c r="E9" s="13" t="s">
        <v>13</v>
      </c>
    </row>
    <row r="10" spans="1:5" s="9" customFormat="1" x14ac:dyDescent="0.3">
      <c r="A10" s="7">
        <v>9</v>
      </c>
      <c r="B10" s="8" t="s">
        <v>29</v>
      </c>
      <c r="C10" s="7">
        <v>3</v>
      </c>
      <c r="D10" s="7">
        <v>3</v>
      </c>
      <c r="E10" s="7" t="s">
        <v>11</v>
      </c>
    </row>
    <row r="11" spans="1:5" s="9" customFormat="1" x14ac:dyDescent="0.3">
      <c r="A11" s="7">
        <v>10</v>
      </c>
      <c r="B11" s="8" t="s">
        <v>30</v>
      </c>
      <c r="C11" s="7">
        <v>3</v>
      </c>
      <c r="D11" s="7">
        <v>3</v>
      </c>
      <c r="E11" s="7" t="s">
        <v>11</v>
      </c>
    </row>
    <row r="12" spans="1:5" s="18" customFormat="1" x14ac:dyDescent="0.3">
      <c r="A12" s="16">
        <v>11</v>
      </c>
      <c r="B12" s="17" t="s">
        <v>31</v>
      </c>
      <c r="C12" s="16">
        <v>3</v>
      </c>
      <c r="D12" s="16">
        <v>2</v>
      </c>
      <c r="E12" s="16" t="s">
        <v>14</v>
      </c>
    </row>
    <row r="13" spans="1:5" s="9" customFormat="1" x14ac:dyDescent="0.3">
      <c r="A13" s="7">
        <v>12</v>
      </c>
      <c r="B13" s="8" t="s">
        <v>32</v>
      </c>
      <c r="C13" s="7">
        <v>3</v>
      </c>
      <c r="D13" s="7">
        <v>3</v>
      </c>
      <c r="E13" s="7" t="s">
        <v>11</v>
      </c>
    </row>
    <row r="14" spans="1:5" s="9" customFormat="1" x14ac:dyDescent="0.3">
      <c r="A14" s="7">
        <v>13</v>
      </c>
      <c r="B14" s="8" t="s">
        <v>33</v>
      </c>
      <c r="C14" s="7">
        <v>3</v>
      </c>
      <c r="D14" s="7">
        <v>3</v>
      </c>
      <c r="E14" s="7" t="s">
        <v>11</v>
      </c>
    </row>
    <row r="15" spans="1:5" s="9" customFormat="1" x14ac:dyDescent="0.3">
      <c r="A15" s="7">
        <v>14</v>
      </c>
      <c r="B15" s="8" t="s">
        <v>34</v>
      </c>
      <c r="C15" s="7">
        <v>3</v>
      </c>
      <c r="D15" s="7">
        <v>4</v>
      </c>
      <c r="E15" s="7" t="s">
        <v>11</v>
      </c>
    </row>
    <row r="16" spans="1:5" s="9" customFormat="1" x14ac:dyDescent="0.3">
      <c r="A16" s="7">
        <v>15</v>
      </c>
      <c r="B16" s="8" t="s">
        <v>35</v>
      </c>
      <c r="C16" s="7">
        <v>3</v>
      </c>
      <c r="D16" s="7">
        <v>4</v>
      </c>
      <c r="E16" s="7" t="s">
        <v>11</v>
      </c>
    </row>
    <row r="17" spans="1:5" s="9" customFormat="1" x14ac:dyDescent="0.3">
      <c r="A17" s="7">
        <v>16</v>
      </c>
      <c r="B17" s="8" t="s">
        <v>36</v>
      </c>
      <c r="C17" s="7">
        <v>4</v>
      </c>
      <c r="D17" s="7">
        <v>4</v>
      </c>
      <c r="E17" s="7" t="s">
        <v>11</v>
      </c>
    </row>
    <row r="18" spans="1:5" s="15" customFormat="1" x14ac:dyDescent="0.3">
      <c r="A18" s="13">
        <v>17</v>
      </c>
      <c r="B18" s="14" t="s">
        <v>37</v>
      </c>
      <c r="C18" s="13">
        <v>1</v>
      </c>
      <c r="D18" s="13">
        <v>3</v>
      </c>
      <c r="E18" s="13" t="s">
        <v>13</v>
      </c>
    </row>
    <row r="19" spans="1:5" s="9" customFormat="1" x14ac:dyDescent="0.3">
      <c r="A19" s="7">
        <v>18</v>
      </c>
      <c r="B19" s="8" t="s">
        <v>38</v>
      </c>
      <c r="C19" s="7">
        <v>3</v>
      </c>
      <c r="D19" s="7">
        <v>4</v>
      </c>
      <c r="E19" s="7" t="s">
        <v>11</v>
      </c>
    </row>
    <row r="20" spans="1:5" s="9" customFormat="1" x14ac:dyDescent="0.3">
      <c r="A20" s="7">
        <v>19</v>
      </c>
      <c r="B20" s="8" t="s">
        <v>39</v>
      </c>
      <c r="C20" s="7">
        <v>3</v>
      </c>
      <c r="D20" s="7">
        <v>3</v>
      </c>
      <c r="E20" s="7" t="s">
        <v>11</v>
      </c>
    </row>
    <row r="21" spans="1:5" s="9" customFormat="1" x14ac:dyDescent="0.3">
      <c r="A21" s="7">
        <v>20</v>
      </c>
      <c r="B21" s="8" t="s">
        <v>40</v>
      </c>
      <c r="C21" s="7">
        <v>3</v>
      </c>
      <c r="D21" s="7">
        <v>4</v>
      </c>
      <c r="E21" s="7" t="s">
        <v>11</v>
      </c>
    </row>
    <row r="22" spans="1:5" s="9" customFormat="1" x14ac:dyDescent="0.3">
      <c r="A22" s="7">
        <v>21</v>
      </c>
      <c r="B22" s="8" t="s">
        <v>41</v>
      </c>
      <c r="C22" s="7">
        <v>3</v>
      </c>
      <c r="D22" s="7">
        <v>3</v>
      </c>
      <c r="E22" s="7" t="s">
        <v>11</v>
      </c>
    </row>
    <row r="23" spans="1:5" s="9" customFormat="1" x14ac:dyDescent="0.3">
      <c r="A23" s="7">
        <v>22</v>
      </c>
      <c r="B23" s="8" t="s">
        <v>42</v>
      </c>
      <c r="C23" s="7">
        <v>3</v>
      </c>
      <c r="D23" s="7">
        <v>3</v>
      </c>
      <c r="E23" s="7" t="s">
        <v>11</v>
      </c>
    </row>
    <row r="24" spans="1:5" s="15" customFormat="1" x14ac:dyDescent="0.3">
      <c r="A24" s="13">
        <v>23</v>
      </c>
      <c r="B24" s="14" t="s">
        <v>44</v>
      </c>
      <c r="C24" s="13">
        <v>2</v>
      </c>
      <c r="D24" s="13">
        <v>4</v>
      </c>
      <c r="E24" s="13" t="s">
        <v>13</v>
      </c>
    </row>
    <row r="25" spans="1:5" s="9" customFormat="1" x14ac:dyDescent="0.3">
      <c r="A25" s="7">
        <v>24</v>
      </c>
      <c r="B25" s="8" t="s">
        <v>43</v>
      </c>
      <c r="C25" s="7">
        <v>3</v>
      </c>
      <c r="D25" s="7">
        <v>4</v>
      </c>
      <c r="E25" s="7" t="s">
        <v>11</v>
      </c>
    </row>
    <row r="26" spans="1:5" s="9" customFormat="1" x14ac:dyDescent="0.3">
      <c r="A26" s="7">
        <v>25</v>
      </c>
      <c r="B26" s="8" t="s">
        <v>45</v>
      </c>
      <c r="C26" s="7">
        <v>3</v>
      </c>
      <c r="D26" s="7">
        <v>4</v>
      </c>
      <c r="E26" s="7" t="s">
        <v>11</v>
      </c>
    </row>
    <row r="27" spans="1:5" s="9" customFormat="1" x14ac:dyDescent="0.3">
      <c r="A27" s="7">
        <v>26</v>
      </c>
      <c r="B27" s="8" t="s">
        <v>46</v>
      </c>
      <c r="C27" s="7">
        <v>3</v>
      </c>
      <c r="D27" s="7">
        <v>4</v>
      </c>
      <c r="E27" s="7" t="s">
        <v>11</v>
      </c>
    </row>
    <row r="28" spans="1:5" s="12" customFormat="1" x14ac:dyDescent="0.3">
      <c r="A28" s="10">
        <v>27</v>
      </c>
      <c r="B28" s="11" t="s">
        <v>47</v>
      </c>
      <c r="C28" s="10">
        <v>2</v>
      </c>
      <c r="D28" s="10">
        <v>2</v>
      </c>
      <c r="E28" s="10" t="s">
        <v>12</v>
      </c>
    </row>
    <row r="29" spans="1:5" s="15" customFormat="1" x14ac:dyDescent="0.3">
      <c r="A29" s="13">
        <v>28</v>
      </c>
      <c r="B29" s="14" t="s">
        <v>48</v>
      </c>
      <c r="C29" s="13">
        <v>2</v>
      </c>
      <c r="D29" s="13">
        <v>3</v>
      </c>
      <c r="E29" s="13" t="s">
        <v>13</v>
      </c>
    </row>
    <row r="30" spans="1:5" s="15" customFormat="1" x14ac:dyDescent="0.3">
      <c r="A30" s="13">
        <v>29</v>
      </c>
      <c r="B30" s="14" t="s">
        <v>49</v>
      </c>
      <c r="C30" s="13">
        <v>2</v>
      </c>
      <c r="D30" s="13">
        <v>3</v>
      </c>
      <c r="E30" s="13" t="s">
        <v>13</v>
      </c>
    </row>
    <row r="31" spans="1:5" s="12" customFormat="1" x14ac:dyDescent="0.3">
      <c r="A31" s="10">
        <v>30</v>
      </c>
      <c r="B31" s="11" t="s">
        <v>50</v>
      </c>
      <c r="C31" s="10">
        <v>2</v>
      </c>
      <c r="D31" s="10">
        <v>2</v>
      </c>
      <c r="E31" s="10" t="s">
        <v>12</v>
      </c>
    </row>
    <row r="32" spans="1:5" s="9" customFormat="1" x14ac:dyDescent="0.3">
      <c r="A32" s="7">
        <v>31</v>
      </c>
      <c r="B32" s="8" t="s">
        <v>51</v>
      </c>
      <c r="C32" s="7">
        <v>3</v>
      </c>
      <c r="D32" s="7">
        <v>3</v>
      </c>
      <c r="E32" s="7" t="s">
        <v>11</v>
      </c>
    </row>
    <row r="33" spans="1:5" s="18" customFormat="1" x14ac:dyDescent="0.3">
      <c r="A33" s="16">
        <v>32</v>
      </c>
      <c r="B33" s="17" t="s">
        <v>52</v>
      </c>
      <c r="C33" s="16">
        <v>3</v>
      </c>
      <c r="D33" s="16">
        <v>2</v>
      </c>
      <c r="E33" s="16" t="s">
        <v>14</v>
      </c>
    </row>
    <row r="34" spans="1:5" s="9" customFormat="1" x14ac:dyDescent="0.3">
      <c r="A34" s="7">
        <v>33</v>
      </c>
      <c r="B34" s="8" t="s">
        <v>53</v>
      </c>
      <c r="C34" s="7">
        <v>3</v>
      </c>
      <c r="D34" s="7">
        <v>3</v>
      </c>
      <c r="E34" s="7" t="s">
        <v>11</v>
      </c>
    </row>
    <row r="35" spans="1:5" s="9" customFormat="1" x14ac:dyDescent="0.3">
      <c r="A35" s="7">
        <v>34</v>
      </c>
      <c r="B35" s="8" t="s">
        <v>54</v>
      </c>
      <c r="C35" s="7">
        <v>3</v>
      </c>
      <c r="D35" s="7">
        <v>3</v>
      </c>
      <c r="E35" s="7" t="s">
        <v>11</v>
      </c>
    </row>
    <row r="36" spans="1:5" s="12" customFormat="1" x14ac:dyDescent="0.3">
      <c r="A36" s="10">
        <v>35</v>
      </c>
      <c r="B36" s="11" t="s">
        <v>55</v>
      </c>
      <c r="C36" s="10">
        <v>1</v>
      </c>
      <c r="D36" s="10">
        <v>2</v>
      </c>
      <c r="E36" s="10" t="s">
        <v>12</v>
      </c>
    </row>
    <row r="37" spans="1:5" s="15" customFormat="1" x14ac:dyDescent="0.3">
      <c r="A37" s="13">
        <v>36</v>
      </c>
      <c r="B37" s="14" t="s">
        <v>56</v>
      </c>
      <c r="C37" s="13">
        <v>2</v>
      </c>
      <c r="D37" s="13">
        <v>3</v>
      </c>
      <c r="E37" s="13" t="s">
        <v>13</v>
      </c>
    </row>
    <row r="38" spans="1:5" s="9" customFormat="1" x14ac:dyDescent="0.3">
      <c r="A38" s="7">
        <v>37</v>
      </c>
      <c r="B38" s="8" t="s">
        <v>57</v>
      </c>
      <c r="C38" s="7">
        <v>3</v>
      </c>
      <c r="D38" s="7">
        <v>3</v>
      </c>
      <c r="E38" s="7" t="s">
        <v>11</v>
      </c>
    </row>
    <row r="39" spans="1:5" s="9" customFormat="1" x14ac:dyDescent="0.3">
      <c r="A39" s="7">
        <v>38</v>
      </c>
      <c r="B39" s="8" t="s">
        <v>58</v>
      </c>
      <c r="C39" s="7">
        <v>3</v>
      </c>
      <c r="D39" s="7">
        <v>3</v>
      </c>
      <c r="E39" s="7" t="s">
        <v>11</v>
      </c>
    </row>
    <row r="40" spans="1:5" s="12" customFormat="1" x14ac:dyDescent="0.3">
      <c r="A40" s="10">
        <v>39</v>
      </c>
      <c r="B40" s="11" t="s">
        <v>59</v>
      </c>
      <c r="C40" s="10">
        <v>1</v>
      </c>
      <c r="D40" s="10">
        <v>2</v>
      </c>
      <c r="E40" s="10" t="s">
        <v>12</v>
      </c>
    </row>
    <row r="41" spans="1:5" s="18" customFormat="1" x14ac:dyDescent="0.3">
      <c r="A41" s="16">
        <v>40</v>
      </c>
      <c r="B41" s="17" t="s">
        <v>60</v>
      </c>
      <c r="C41" s="16">
        <v>3</v>
      </c>
      <c r="D41" s="16">
        <v>2</v>
      </c>
      <c r="E41" s="16" t="s">
        <v>14</v>
      </c>
    </row>
    <row r="42" spans="1:5" s="12" customFormat="1" x14ac:dyDescent="0.3">
      <c r="A42" s="10">
        <v>41</v>
      </c>
      <c r="B42" s="11" t="s">
        <v>61</v>
      </c>
      <c r="C42" s="10">
        <v>2</v>
      </c>
      <c r="D42" s="10">
        <v>2</v>
      </c>
      <c r="E42" s="10" t="s">
        <v>12</v>
      </c>
    </row>
    <row r="43" spans="1:5" s="9" customFormat="1" x14ac:dyDescent="0.3">
      <c r="A43" s="7">
        <v>42</v>
      </c>
      <c r="B43" s="8" t="s">
        <v>62</v>
      </c>
      <c r="C43" s="7">
        <v>3</v>
      </c>
      <c r="D43" s="7">
        <v>3</v>
      </c>
      <c r="E43" s="7" t="s">
        <v>11</v>
      </c>
    </row>
    <row r="44" spans="1:5" s="9" customFormat="1" x14ac:dyDescent="0.3">
      <c r="A44" s="7">
        <v>43</v>
      </c>
      <c r="B44" s="8" t="s">
        <v>63</v>
      </c>
      <c r="C44" s="7">
        <v>3</v>
      </c>
      <c r="D44" s="7">
        <v>3</v>
      </c>
      <c r="E44" s="7" t="s">
        <v>11</v>
      </c>
    </row>
    <row r="45" spans="1:5" s="15" customFormat="1" x14ac:dyDescent="0.3">
      <c r="A45" s="13">
        <v>44</v>
      </c>
      <c r="B45" s="14" t="s">
        <v>64</v>
      </c>
      <c r="C45" s="13">
        <v>1</v>
      </c>
      <c r="D45" s="13">
        <v>3</v>
      </c>
      <c r="E45" s="13" t="s">
        <v>13</v>
      </c>
    </row>
    <row r="46" spans="1:5" s="12" customFormat="1" x14ac:dyDescent="0.3">
      <c r="A46" s="10">
        <v>45</v>
      </c>
      <c r="B46" s="11" t="s">
        <v>65</v>
      </c>
      <c r="C46" s="10">
        <v>1</v>
      </c>
      <c r="D46" s="10">
        <v>2</v>
      </c>
      <c r="E46" s="10" t="s">
        <v>12</v>
      </c>
    </row>
    <row r="47" spans="1:5" s="9" customFormat="1" x14ac:dyDescent="0.3">
      <c r="A47" s="7">
        <v>46</v>
      </c>
      <c r="B47" s="8" t="s">
        <v>66</v>
      </c>
      <c r="C47" s="7">
        <v>3</v>
      </c>
      <c r="D47" s="7">
        <v>4</v>
      </c>
      <c r="E47" s="7" t="s">
        <v>11</v>
      </c>
    </row>
    <row r="48" spans="1:5" s="9" customFormat="1" x14ac:dyDescent="0.3">
      <c r="A48" s="7">
        <v>47</v>
      </c>
      <c r="B48" s="8" t="s">
        <v>67</v>
      </c>
      <c r="C48" s="7">
        <v>3</v>
      </c>
      <c r="D48" s="7">
        <v>3</v>
      </c>
      <c r="E48" s="7" t="s">
        <v>11</v>
      </c>
    </row>
    <row r="49" spans="1:5" s="9" customFormat="1" x14ac:dyDescent="0.3">
      <c r="A49" s="7">
        <v>48</v>
      </c>
      <c r="B49" s="8" t="s">
        <v>68</v>
      </c>
      <c r="C49" s="7">
        <v>3</v>
      </c>
      <c r="D49" s="7">
        <v>3</v>
      </c>
      <c r="E49" s="7" t="s">
        <v>11</v>
      </c>
    </row>
    <row r="50" spans="1:5" s="9" customFormat="1" x14ac:dyDescent="0.3">
      <c r="A50" s="7">
        <v>49</v>
      </c>
      <c r="B50" s="8" t="s">
        <v>69</v>
      </c>
      <c r="C50" s="7">
        <v>3</v>
      </c>
      <c r="D50" s="7">
        <v>3</v>
      </c>
      <c r="E50" s="7" t="s">
        <v>11</v>
      </c>
    </row>
    <row r="52" spans="1:5" x14ac:dyDescent="0.3">
      <c r="B52" s="3" t="s">
        <v>250</v>
      </c>
      <c r="C52" s="4">
        <v>31</v>
      </c>
    </row>
    <row r="53" spans="1:5" x14ac:dyDescent="0.3">
      <c r="B53" s="3" t="s">
        <v>251</v>
      </c>
      <c r="C53" s="4">
        <v>7</v>
      </c>
    </row>
    <row r="54" spans="1:5" x14ac:dyDescent="0.3">
      <c r="B54" s="3" t="s">
        <v>252</v>
      </c>
      <c r="C54" s="4">
        <v>8</v>
      </c>
    </row>
    <row r="55" spans="1:5" x14ac:dyDescent="0.3">
      <c r="B55" s="3" t="s">
        <v>253</v>
      </c>
      <c r="C55" s="4">
        <v>3</v>
      </c>
    </row>
    <row r="56" spans="1:5" x14ac:dyDescent="0.3">
      <c r="B56" s="3"/>
      <c r="C56" s="4"/>
    </row>
    <row r="57" spans="1:5" x14ac:dyDescent="0.3">
      <c r="B57" s="3" t="s">
        <v>262</v>
      </c>
      <c r="C57" s="4"/>
    </row>
    <row r="58" spans="1:5" x14ac:dyDescent="0.3">
      <c r="B58" s="3" t="s">
        <v>263</v>
      </c>
      <c r="C58" s="4"/>
    </row>
    <row r="59" spans="1:5" x14ac:dyDescent="0.3">
      <c r="B59" s="3" t="s">
        <v>264</v>
      </c>
      <c r="C59" s="4"/>
    </row>
    <row r="60" spans="1:5" x14ac:dyDescent="0.3">
      <c r="B60" s="3" t="s">
        <v>265</v>
      </c>
      <c r="C6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B430-67B6-4E57-BFEB-8B845CC80D76}">
  <dimension ref="A1:H256"/>
  <sheetViews>
    <sheetView zoomScale="60" zoomScaleNormal="60" workbookViewId="0">
      <selection activeCell="H8" sqref="H8:H26"/>
    </sheetView>
  </sheetViews>
  <sheetFormatPr defaultRowHeight="15.6" x14ac:dyDescent="0.3"/>
  <cols>
    <col min="1" max="1" width="4.33203125" style="4" bestFit="1" customWidth="1"/>
    <col min="2" max="2" width="39.33203125" style="5" customWidth="1"/>
    <col min="3" max="3" width="21.33203125" style="4" customWidth="1"/>
    <col min="4" max="4" width="25.44140625" style="4" bestFit="1" customWidth="1"/>
    <col min="5" max="5" width="13.33203125" style="4" customWidth="1"/>
    <col min="6" max="6" width="17.44140625" style="23" bestFit="1" customWidth="1"/>
    <col min="7" max="7" width="24.44140625" customWidth="1"/>
    <col min="8" max="8" width="41.88671875" customWidth="1"/>
  </cols>
  <sheetData>
    <row r="1" spans="1:8" s="4" customFormat="1" x14ac:dyDescent="0.3">
      <c r="A1" s="4" t="s">
        <v>15</v>
      </c>
      <c r="B1" s="4" t="s">
        <v>6</v>
      </c>
      <c r="C1" s="4" t="s">
        <v>7</v>
      </c>
      <c r="D1" s="4" t="s">
        <v>233</v>
      </c>
      <c r="E1" s="4" t="s">
        <v>8</v>
      </c>
      <c r="F1" s="4" t="s">
        <v>9</v>
      </c>
      <c r="H1" s="4" t="s">
        <v>10</v>
      </c>
    </row>
    <row r="2" spans="1:8" x14ac:dyDescent="0.3">
      <c r="A2" s="4">
        <v>1</v>
      </c>
      <c r="B2" s="6" t="s">
        <v>70</v>
      </c>
      <c r="C2" s="4">
        <v>4</v>
      </c>
      <c r="D2" s="4">
        <v>4</v>
      </c>
      <c r="E2" s="4">
        <v>4</v>
      </c>
      <c r="F2" s="4">
        <v>4</v>
      </c>
      <c r="G2" s="5"/>
      <c r="H2" s="5" t="s">
        <v>16</v>
      </c>
    </row>
    <row r="3" spans="1:8" x14ac:dyDescent="0.3">
      <c r="A3" s="4">
        <v>2</v>
      </c>
      <c r="B3" s="6" t="s">
        <v>71</v>
      </c>
      <c r="C3" s="4">
        <v>2</v>
      </c>
      <c r="D3" s="4">
        <v>3</v>
      </c>
      <c r="E3" s="4">
        <v>2</v>
      </c>
      <c r="F3" s="4">
        <v>3</v>
      </c>
      <c r="G3" s="6"/>
      <c r="H3" s="6" t="s">
        <v>20</v>
      </c>
    </row>
    <row r="4" spans="1:8" x14ac:dyDescent="0.3">
      <c r="A4" s="4">
        <v>3</v>
      </c>
      <c r="B4" s="6" t="s">
        <v>72</v>
      </c>
      <c r="C4" s="4">
        <v>1</v>
      </c>
      <c r="D4" s="4">
        <v>3</v>
      </c>
      <c r="E4" s="4">
        <v>3</v>
      </c>
      <c r="F4" s="4">
        <v>4</v>
      </c>
      <c r="G4" s="5"/>
      <c r="H4" s="5" t="s">
        <v>17</v>
      </c>
    </row>
    <row r="5" spans="1:8" x14ac:dyDescent="0.3">
      <c r="A5" s="4">
        <v>4</v>
      </c>
      <c r="B5" s="6" t="s">
        <v>73</v>
      </c>
      <c r="C5" s="4">
        <v>1</v>
      </c>
      <c r="D5" s="4">
        <v>2</v>
      </c>
      <c r="E5" s="4">
        <v>2</v>
      </c>
      <c r="F5" s="4">
        <v>2</v>
      </c>
      <c r="G5" s="5"/>
      <c r="H5" s="5" t="s">
        <v>18</v>
      </c>
    </row>
    <row r="6" spans="1:8" x14ac:dyDescent="0.3">
      <c r="A6" s="4">
        <v>5</v>
      </c>
      <c r="B6" s="6" t="s">
        <v>74</v>
      </c>
      <c r="C6" s="4">
        <v>1</v>
      </c>
      <c r="D6" s="4">
        <v>3</v>
      </c>
      <c r="E6" s="4">
        <v>2</v>
      </c>
      <c r="F6" s="4">
        <v>2</v>
      </c>
      <c r="G6" s="5"/>
      <c r="H6" s="5" t="s">
        <v>19</v>
      </c>
    </row>
    <row r="7" spans="1:8" ht="16.2" thickBot="1" x14ac:dyDescent="0.35">
      <c r="A7" s="4">
        <v>6</v>
      </c>
      <c r="B7" s="6" t="s">
        <v>75</v>
      </c>
      <c r="C7" s="4">
        <v>3</v>
      </c>
      <c r="D7" s="4">
        <v>3</v>
      </c>
      <c r="E7" s="4">
        <v>2</v>
      </c>
      <c r="F7" s="4">
        <v>1</v>
      </c>
    </row>
    <row r="8" spans="1:8" ht="16.2" thickBot="1" x14ac:dyDescent="0.35">
      <c r="A8" s="4">
        <v>7</v>
      </c>
      <c r="B8" s="6" t="s">
        <v>76</v>
      </c>
      <c r="C8" s="4">
        <v>1</v>
      </c>
      <c r="D8" s="4">
        <v>3</v>
      </c>
      <c r="E8" s="4">
        <v>2</v>
      </c>
      <c r="F8" s="4">
        <v>3</v>
      </c>
      <c r="H8" s="215" t="s">
        <v>233</v>
      </c>
    </row>
    <row r="9" spans="1:8" x14ac:dyDescent="0.3">
      <c r="A9" s="4">
        <v>8</v>
      </c>
      <c r="B9" s="6" t="s">
        <v>77</v>
      </c>
      <c r="C9" s="4">
        <v>4</v>
      </c>
      <c r="D9" s="4">
        <v>4</v>
      </c>
      <c r="E9" s="4">
        <v>4</v>
      </c>
      <c r="F9" s="4">
        <v>4</v>
      </c>
      <c r="H9" s="214" t="s">
        <v>551</v>
      </c>
    </row>
    <row r="10" spans="1:8" x14ac:dyDescent="0.3">
      <c r="A10" s="4">
        <v>9</v>
      </c>
      <c r="B10" s="6" t="s">
        <v>78</v>
      </c>
      <c r="C10" s="4">
        <v>4</v>
      </c>
      <c r="D10" s="4">
        <v>4</v>
      </c>
      <c r="E10" s="4">
        <v>4</v>
      </c>
      <c r="F10" s="4">
        <v>4</v>
      </c>
      <c r="H10" s="213" t="s">
        <v>552</v>
      </c>
    </row>
    <row r="11" spans="1:8" x14ac:dyDescent="0.3">
      <c r="A11" s="4">
        <v>10</v>
      </c>
      <c r="B11" s="6" t="s">
        <v>79</v>
      </c>
      <c r="C11" s="4">
        <v>4</v>
      </c>
      <c r="D11" s="4">
        <v>3</v>
      </c>
      <c r="E11" s="4">
        <v>4</v>
      </c>
      <c r="F11" s="4">
        <v>4</v>
      </c>
      <c r="H11" s="213" t="s">
        <v>553</v>
      </c>
    </row>
    <row r="12" spans="1:8" x14ac:dyDescent="0.3">
      <c r="A12" s="4">
        <v>11</v>
      </c>
      <c r="B12" s="6" t="s">
        <v>80</v>
      </c>
      <c r="C12" s="4">
        <v>3</v>
      </c>
      <c r="D12" s="4">
        <v>2</v>
      </c>
      <c r="E12" s="4">
        <v>2</v>
      </c>
      <c r="F12" s="4">
        <v>2</v>
      </c>
      <c r="H12" s="213" t="s">
        <v>544</v>
      </c>
    </row>
    <row r="13" spans="1:8" x14ac:dyDescent="0.3">
      <c r="A13" s="4">
        <v>12</v>
      </c>
      <c r="B13" s="6" t="s">
        <v>81</v>
      </c>
      <c r="C13" s="4">
        <v>3</v>
      </c>
      <c r="D13" s="4">
        <v>2</v>
      </c>
      <c r="E13" s="4">
        <v>2</v>
      </c>
      <c r="F13" s="4">
        <v>2</v>
      </c>
    </row>
    <row r="14" spans="1:8" ht="16.2" thickBot="1" x14ac:dyDescent="0.35">
      <c r="A14" s="4">
        <v>13</v>
      </c>
      <c r="B14" s="6" t="s">
        <v>82</v>
      </c>
      <c r="C14" s="4">
        <v>3</v>
      </c>
      <c r="D14" s="4">
        <v>3</v>
      </c>
      <c r="E14" s="4">
        <v>2</v>
      </c>
      <c r="F14" s="4">
        <v>3</v>
      </c>
    </row>
    <row r="15" spans="1:8" ht="16.2" thickBot="1" x14ac:dyDescent="0.35">
      <c r="A15" s="4">
        <v>14</v>
      </c>
      <c r="B15" s="6" t="s">
        <v>83</v>
      </c>
      <c r="C15" s="4">
        <v>4</v>
      </c>
      <c r="D15" s="4">
        <v>3</v>
      </c>
      <c r="E15" s="4">
        <v>4</v>
      </c>
      <c r="F15" s="4">
        <v>3</v>
      </c>
      <c r="H15" s="218" t="s">
        <v>8</v>
      </c>
    </row>
    <row r="16" spans="1:8" x14ac:dyDescent="0.3">
      <c r="A16" s="4">
        <v>15</v>
      </c>
      <c r="B16" s="6" t="s">
        <v>84</v>
      </c>
      <c r="C16" s="4">
        <v>4</v>
      </c>
      <c r="D16" s="4">
        <v>4</v>
      </c>
      <c r="E16" s="4">
        <v>4</v>
      </c>
      <c r="F16" s="4">
        <v>4</v>
      </c>
      <c r="H16" s="217" t="s">
        <v>554</v>
      </c>
    </row>
    <row r="17" spans="1:8" x14ac:dyDescent="0.3">
      <c r="A17" s="4">
        <v>16</v>
      </c>
      <c r="B17" s="6" t="s">
        <v>85</v>
      </c>
      <c r="C17" s="4">
        <v>4</v>
      </c>
      <c r="D17" s="4">
        <v>3</v>
      </c>
      <c r="E17" s="4">
        <v>2</v>
      </c>
      <c r="F17" s="4">
        <v>3</v>
      </c>
      <c r="H17" s="216" t="s">
        <v>555</v>
      </c>
    </row>
    <row r="18" spans="1:8" x14ac:dyDescent="0.3">
      <c r="A18" s="4">
        <v>17</v>
      </c>
      <c r="B18" s="6" t="s">
        <v>86</v>
      </c>
      <c r="C18" s="4">
        <v>1</v>
      </c>
      <c r="D18" s="4">
        <v>2</v>
      </c>
      <c r="E18" s="4">
        <v>2</v>
      </c>
      <c r="F18" s="4">
        <v>2</v>
      </c>
      <c r="H18" s="216" t="s">
        <v>556</v>
      </c>
    </row>
    <row r="19" spans="1:8" x14ac:dyDescent="0.3">
      <c r="A19" s="4">
        <v>18</v>
      </c>
      <c r="B19" s="6" t="s">
        <v>87</v>
      </c>
      <c r="C19" s="4">
        <v>1</v>
      </c>
      <c r="D19" s="4">
        <v>2</v>
      </c>
      <c r="E19" s="4">
        <v>2</v>
      </c>
      <c r="F19" s="4">
        <v>2</v>
      </c>
      <c r="H19" s="216" t="s">
        <v>557</v>
      </c>
    </row>
    <row r="20" spans="1:8" x14ac:dyDescent="0.3">
      <c r="A20" s="4">
        <v>19</v>
      </c>
      <c r="B20" s="6" t="s">
        <v>88</v>
      </c>
      <c r="C20" s="4">
        <v>1</v>
      </c>
      <c r="D20" s="4">
        <v>2</v>
      </c>
      <c r="E20" s="4">
        <v>2</v>
      </c>
      <c r="F20" s="4">
        <v>3</v>
      </c>
    </row>
    <row r="21" spans="1:8" ht="16.2" thickBot="1" x14ac:dyDescent="0.35">
      <c r="A21" s="4">
        <v>20</v>
      </c>
      <c r="B21" s="6" t="s">
        <v>89</v>
      </c>
      <c r="C21" s="4">
        <v>1</v>
      </c>
      <c r="D21" s="4">
        <v>2</v>
      </c>
      <c r="E21" s="4">
        <v>2</v>
      </c>
      <c r="F21" s="4">
        <v>3</v>
      </c>
    </row>
    <row r="22" spans="1:8" ht="16.2" thickBot="1" x14ac:dyDescent="0.35">
      <c r="A22" s="4">
        <v>21</v>
      </c>
      <c r="B22" s="6" t="s">
        <v>90</v>
      </c>
      <c r="C22" s="4">
        <v>1</v>
      </c>
      <c r="D22" s="4">
        <v>3</v>
      </c>
      <c r="E22" s="4">
        <v>3</v>
      </c>
      <c r="F22" s="4">
        <v>2</v>
      </c>
      <c r="H22" s="219" t="s">
        <v>9</v>
      </c>
    </row>
    <row r="23" spans="1:8" x14ac:dyDescent="0.3">
      <c r="A23" s="4">
        <v>22</v>
      </c>
      <c r="B23" s="6" t="s">
        <v>91</v>
      </c>
      <c r="C23" s="4">
        <v>1</v>
      </c>
      <c r="D23" s="4">
        <v>1</v>
      </c>
      <c r="E23" s="4">
        <v>2</v>
      </c>
      <c r="F23" s="4">
        <v>4</v>
      </c>
      <c r="H23" s="220" t="s">
        <v>558</v>
      </c>
    </row>
    <row r="24" spans="1:8" x14ac:dyDescent="0.3">
      <c r="A24" s="4">
        <v>23</v>
      </c>
      <c r="B24" s="6" t="s">
        <v>92</v>
      </c>
      <c r="C24" s="4">
        <v>2</v>
      </c>
      <c r="D24" s="4">
        <v>2</v>
      </c>
      <c r="E24" s="4">
        <v>2</v>
      </c>
      <c r="F24" s="4">
        <v>3</v>
      </c>
      <c r="H24" s="221" t="s">
        <v>559</v>
      </c>
    </row>
    <row r="25" spans="1:8" x14ac:dyDescent="0.3">
      <c r="A25" s="4">
        <v>24</v>
      </c>
      <c r="B25" s="6" t="s">
        <v>93</v>
      </c>
      <c r="C25" s="4">
        <v>1</v>
      </c>
      <c r="D25" s="4">
        <v>2</v>
      </c>
      <c r="E25" s="4">
        <v>2</v>
      </c>
      <c r="F25" s="4">
        <v>2</v>
      </c>
      <c r="H25" s="221" t="s">
        <v>560</v>
      </c>
    </row>
    <row r="26" spans="1:8" x14ac:dyDescent="0.3">
      <c r="A26" s="4">
        <v>25</v>
      </c>
      <c r="B26" s="6" t="s">
        <v>94</v>
      </c>
      <c r="C26" s="4">
        <v>1</v>
      </c>
      <c r="D26" s="4">
        <v>3</v>
      </c>
      <c r="E26" s="4">
        <v>3</v>
      </c>
      <c r="F26" s="4">
        <v>3</v>
      </c>
      <c r="H26" s="221" t="s">
        <v>561</v>
      </c>
    </row>
    <row r="27" spans="1:8" x14ac:dyDescent="0.3">
      <c r="A27" s="4">
        <v>26</v>
      </c>
      <c r="B27" s="6" t="s">
        <v>95</v>
      </c>
      <c r="C27" s="4">
        <v>2</v>
      </c>
      <c r="D27" s="4">
        <v>2</v>
      </c>
      <c r="E27" s="4">
        <v>2</v>
      </c>
      <c r="F27" s="4">
        <v>3</v>
      </c>
    </row>
    <row r="28" spans="1:8" x14ac:dyDescent="0.3">
      <c r="A28" s="4">
        <v>27</v>
      </c>
      <c r="B28" s="6" t="s">
        <v>96</v>
      </c>
      <c r="C28" s="4">
        <v>1</v>
      </c>
      <c r="D28" s="4">
        <v>2</v>
      </c>
      <c r="E28" s="4">
        <v>2</v>
      </c>
      <c r="F28" s="4">
        <v>2</v>
      </c>
    </row>
    <row r="29" spans="1:8" x14ac:dyDescent="0.3">
      <c r="A29" s="4">
        <v>28</v>
      </c>
      <c r="B29" s="6" t="s">
        <v>97</v>
      </c>
      <c r="C29" s="4">
        <v>1</v>
      </c>
      <c r="D29" s="4">
        <v>2</v>
      </c>
      <c r="E29" s="4">
        <v>2</v>
      </c>
      <c r="F29" s="4">
        <v>2</v>
      </c>
    </row>
    <row r="30" spans="1:8" x14ac:dyDescent="0.3">
      <c r="A30" s="4">
        <v>29</v>
      </c>
      <c r="B30" s="6" t="s">
        <v>98</v>
      </c>
      <c r="C30" s="4">
        <v>1</v>
      </c>
      <c r="D30" s="4">
        <v>2</v>
      </c>
      <c r="E30" s="4">
        <v>3</v>
      </c>
      <c r="F30" s="4">
        <v>2</v>
      </c>
    </row>
    <row r="31" spans="1:8" x14ac:dyDescent="0.3">
      <c r="A31" s="4">
        <v>30</v>
      </c>
      <c r="B31" s="6" t="s">
        <v>99</v>
      </c>
      <c r="C31" s="4">
        <v>1</v>
      </c>
      <c r="D31" s="4">
        <v>3</v>
      </c>
      <c r="E31" s="4">
        <v>3</v>
      </c>
      <c r="F31" s="4">
        <v>3</v>
      </c>
    </row>
    <row r="32" spans="1:8" x14ac:dyDescent="0.3">
      <c r="A32" s="4">
        <v>31</v>
      </c>
      <c r="B32" s="6" t="s">
        <v>100</v>
      </c>
      <c r="C32" s="4">
        <v>1</v>
      </c>
      <c r="D32" s="4">
        <v>2</v>
      </c>
      <c r="E32" s="4">
        <v>3</v>
      </c>
      <c r="F32" s="4">
        <v>4</v>
      </c>
    </row>
    <row r="33" spans="1:6" x14ac:dyDescent="0.3">
      <c r="A33" s="4">
        <v>32</v>
      </c>
      <c r="B33" s="6" t="s">
        <v>101</v>
      </c>
      <c r="C33" s="4">
        <v>1</v>
      </c>
      <c r="D33" s="4">
        <v>2</v>
      </c>
      <c r="E33" s="4">
        <v>2</v>
      </c>
      <c r="F33" s="4">
        <v>2</v>
      </c>
    </row>
    <row r="34" spans="1:6" x14ac:dyDescent="0.3">
      <c r="A34" s="4">
        <v>33</v>
      </c>
      <c r="B34" s="6" t="s">
        <v>102</v>
      </c>
      <c r="C34" s="4">
        <v>1</v>
      </c>
      <c r="D34" s="4">
        <v>2</v>
      </c>
      <c r="E34" s="4">
        <v>3</v>
      </c>
      <c r="F34" s="4">
        <v>3</v>
      </c>
    </row>
    <row r="35" spans="1:6" x14ac:dyDescent="0.3">
      <c r="A35" s="4">
        <v>34</v>
      </c>
      <c r="B35" s="6" t="s">
        <v>103</v>
      </c>
      <c r="C35" s="4">
        <v>1</v>
      </c>
      <c r="D35" s="4">
        <v>2</v>
      </c>
      <c r="E35" s="4">
        <v>3</v>
      </c>
      <c r="F35" s="4">
        <v>4</v>
      </c>
    </row>
    <row r="36" spans="1:6" x14ac:dyDescent="0.3">
      <c r="A36" s="4">
        <v>35</v>
      </c>
      <c r="B36" s="6" t="s">
        <v>104</v>
      </c>
      <c r="C36" s="4">
        <v>1</v>
      </c>
      <c r="D36" s="4">
        <v>2</v>
      </c>
      <c r="E36" s="4">
        <v>3</v>
      </c>
      <c r="F36" s="4">
        <v>3</v>
      </c>
    </row>
    <row r="37" spans="1:6" x14ac:dyDescent="0.3">
      <c r="A37" s="4">
        <v>36</v>
      </c>
      <c r="B37" s="6" t="s">
        <v>105</v>
      </c>
      <c r="C37" s="4">
        <v>1</v>
      </c>
      <c r="D37" s="4">
        <v>2</v>
      </c>
      <c r="E37" s="4">
        <v>3</v>
      </c>
      <c r="F37" s="4">
        <v>1</v>
      </c>
    </row>
    <row r="38" spans="1:6" x14ac:dyDescent="0.3">
      <c r="A38" s="4">
        <v>37</v>
      </c>
      <c r="B38" s="6" t="s">
        <v>106</v>
      </c>
      <c r="C38" s="4">
        <v>1</v>
      </c>
      <c r="D38" s="4">
        <v>2</v>
      </c>
      <c r="E38" s="4">
        <v>3</v>
      </c>
      <c r="F38" s="4">
        <v>3</v>
      </c>
    </row>
    <row r="39" spans="1:6" x14ac:dyDescent="0.3">
      <c r="A39" s="4">
        <v>38</v>
      </c>
      <c r="B39" s="6" t="s">
        <v>107</v>
      </c>
      <c r="C39" s="4">
        <v>1</v>
      </c>
      <c r="D39" s="4">
        <v>2</v>
      </c>
      <c r="E39" s="4">
        <v>3</v>
      </c>
      <c r="F39" s="4">
        <v>2</v>
      </c>
    </row>
    <row r="40" spans="1:6" x14ac:dyDescent="0.3">
      <c r="A40" s="4">
        <v>39</v>
      </c>
      <c r="B40" s="6" t="s">
        <v>108</v>
      </c>
      <c r="C40" s="4">
        <v>1</v>
      </c>
      <c r="D40" s="4">
        <v>2</v>
      </c>
      <c r="E40" s="4">
        <v>2</v>
      </c>
      <c r="F40" s="4">
        <v>2</v>
      </c>
    </row>
    <row r="41" spans="1:6" x14ac:dyDescent="0.3">
      <c r="A41" s="4">
        <v>40</v>
      </c>
      <c r="B41" s="6" t="s">
        <v>109</v>
      </c>
      <c r="C41" s="4">
        <v>1</v>
      </c>
      <c r="D41" s="4">
        <v>2</v>
      </c>
      <c r="E41" s="4">
        <v>3</v>
      </c>
      <c r="F41" s="4">
        <v>2</v>
      </c>
    </row>
    <row r="42" spans="1:6" x14ac:dyDescent="0.3">
      <c r="A42" s="4">
        <v>41</v>
      </c>
      <c r="B42" s="6" t="s">
        <v>110</v>
      </c>
      <c r="C42" s="4">
        <v>2</v>
      </c>
      <c r="D42" s="4">
        <v>3</v>
      </c>
      <c r="E42" s="4">
        <v>2</v>
      </c>
      <c r="F42" s="4">
        <v>3</v>
      </c>
    </row>
    <row r="43" spans="1:6" x14ac:dyDescent="0.3">
      <c r="A43" s="4">
        <v>42</v>
      </c>
      <c r="B43" s="6" t="s">
        <v>111</v>
      </c>
      <c r="C43" s="4">
        <v>4</v>
      </c>
      <c r="D43" s="4">
        <v>4</v>
      </c>
      <c r="E43" s="4">
        <v>4</v>
      </c>
      <c r="F43" s="4">
        <v>4</v>
      </c>
    </row>
    <row r="44" spans="1:6" x14ac:dyDescent="0.3">
      <c r="A44" s="4">
        <v>43</v>
      </c>
      <c r="B44" s="6" t="s">
        <v>112</v>
      </c>
      <c r="C44" s="4">
        <v>4</v>
      </c>
      <c r="D44" s="4">
        <v>4</v>
      </c>
      <c r="E44" s="4">
        <v>4</v>
      </c>
      <c r="F44" s="4">
        <v>4</v>
      </c>
    </row>
    <row r="45" spans="1:6" x14ac:dyDescent="0.3">
      <c r="A45" s="4">
        <v>44</v>
      </c>
      <c r="B45" s="6" t="s">
        <v>113</v>
      </c>
      <c r="C45" s="4">
        <v>3</v>
      </c>
      <c r="D45" s="4">
        <v>3</v>
      </c>
      <c r="E45" s="4">
        <v>2</v>
      </c>
      <c r="F45" s="4">
        <v>3</v>
      </c>
    </row>
    <row r="46" spans="1:6" x14ac:dyDescent="0.3">
      <c r="A46" s="4">
        <v>45</v>
      </c>
      <c r="B46" s="6" t="s">
        <v>114</v>
      </c>
      <c r="C46" s="4">
        <v>2</v>
      </c>
      <c r="D46" s="4">
        <v>3</v>
      </c>
      <c r="E46" s="4">
        <v>3</v>
      </c>
      <c r="F46" s="4">
        <v>4</v>
      </c>
    </row>
    <row r="47" spans="1:6" x14ac:dyDescent="0.3">
      <c r="A47" s="4">
        <v>46</v>
      </c>
      <c r="B47" s="6" t="s">
        <v>115</v>
      </c>
      <c r="C47" s="4">
        <v>4</v>
      </c>
      <c r="D47" s="4">
        <v>3</v>
      </c>
      <c r="E47" s="4">
        <v>3</v>
      </c>
      <c r="F47" s="4">
        <v>4</v>
      </c>
    </row>
    <row r="48" spans="1:6" x14ac:dyDescent="0.3">
      <c r="A48" s="4">
        <v>47</v>
      </c>
      <c r="B48" s="6" t="s">
        <v>116</v>
      </c>
      <c r="C48" s="4">
        <v>1</v>
      </c>
      <c r="D48" s="4">
        <v>3</v>
      </c>
      <c r="E48" s="4">
        <v>4</v>
      </c>
      <c r="F48" s="4">
        <v>2</v>
      </c>
    </row>
    <row r="49" spans="1:6" x14ac:dyDescent="0.3">
      <c r="A49" s="4">
        <v>48</v>
      </c>
      <c r="B49" s="6" t="s">
        <v>117</v>
      </c>
      <c r="C49" s="4">
        <v>4</v>
      </c>
      <c r="D49" s="4">
        <v>3</v>
      </c>
      <c r="E49" s="4">
        <v>3</v>
      </c>
      <c r="F49" s="4">
        <v>3</v>
      </c>
    </row>
    <row r="50" spans="1:6" x14ac:dyDescent="0.3">
      <c r="A50" s="4">
        <v>49</v>
      </c>
      <c r="B50" s="6" t="s">
        <v>118</v>
      </c>
      <c r="C50" s="4">
        <v>2</v>
      </c>
      <c r="D50" s="4">
        <v>3</v>
      </c>
      <c r="E50" s="4">
        <v>3</v>
      </c>
      <c r="F50" s="4">
        <v>4</v>
      </c>
    </row>
    <row r="51" spans="1:6" x14ac:dyDescent="0.3">
      <c r="A51" s="4">
        <v>50</v>
      </c>
      <c r="B51" s="6" t="s">
        <v>119</v>
      </c>
      <c r="C51" s="4">
        <v>4</v>
      </c>
      <c r="D51" s="4">
        <v>3</v>
      </c>
      <c r="E51" s="4">
        <v>4</v>
      </c>
      <c r="F51" s="4">
        <v>4</v>
      </c>
    </row>
    <row r="52" spans="1:6" x14ac:dyDescent="0.3">
      <c r="A52" s="4">
        <v>51</v>
      </c>
      <c r="B52" s="6" t="s">
        <v>120</v>
      </c>
      <c r="C52" s="4">
        <v>3</v>
      </c>
      <c r="D52" s="4">
        <v>2</v>
      </c>
      <c r="E52" s="4">
        <v>3</v>
      </c>
      <c r="F52" s="4">
        <v>3</v>
      </c>
    </row>
    <row r="53" spans="1:6" x14ac:dyDescent="0.3">
      <c r="A53" s="4">
        <v>52</v>
      </c>
      <c r="B53" s="6" t="s">
        <v>121</v>
      </c>
      <c r="C53" s="4">
        <v>3</v>
      </c>
      <c r="D53" s="4">
        <v>3</v>
      </c>
      <c r="E53" s="4">
        <v>3</v>
      </c>
      <c r="F53" s="4">
        <v>4</v>
      </c>
    </row>
    <row r="54" spans="1:6" x14ac:dyDescent="0.3">
      <c r="A54" s="4">
        <v>53</v>
      </c>
      <c r="B54" s="6" t="s">
        <v>122</v>
      </c>
      <c r="C54" s="4">
        <v>4</v>
      </c>
      <c r="D54" s="4">
        <v>4</v>
      </c>
      <c r="E54" s="4">
        <v>4</v>
      </c>
      <c r="F54" s="4">
        <v>3</v>
      </c>
    </row>
    <row r="55" spans="1:6" x14ac:dyDescent="0.3">
      <c r="A55" s="4">
        <v>54</v>
      </c>
      <c r="B55" s="6" t="s">
        <v>123</v>
      </c>
      <c r="C55" s="4">
        <v>4</v>
      </c>
      <c r="D55" s="4">
        <v>3</v>
      </c>
      <c r="E55" s="4">
        <v>4</v>
      </c>
      <c r="F55" s="4">
        <v>3</v>
      </c>
    </row>
    <row r="56" spans="1:6" x14ac:dyDescent="0.3">
      <c r="A56" s="4">
        <v>55</v>
      </c>
      <c r="B56" s="6" t="s">
        <v>124</v>
      </c>
      <c r="C56" s="4">
        <v>4</v>
      </c>
      <c r="D56" s="4">
        <v>4</v>
      </c>
      <c r="E56" s="4">
        <v>4</v>
      </c>
      <c r="F56" s="4">
        <v>3</v>
      </c>
    </row>
    <row r="57" spans="1:6" x14ac:dyDescent="0.3">
      <c r="A57" s="4">
        <v>56</v>
      </c>
      <c r="B57" s="6" t="s">
        <v>125</v>
      </c>
      <c r="C57" s="4">
        <v>3</v>
      </c>
      <c r="D57" s="4">
        <v>3</v>
      </c>
      <c r="E57" s="4">
        <v>4</v>
      </c>
      <c r="F57" s="4">
        <v>3</v>
      </c>
    </row>
    <row r="58" spans="1:6" x14ac:dyDescent="0.3">
      <c r="A58" s="4">
        <v>57</v>
      </c>
      <c r="B58" s="6" t="s">
        <v>126</v>
      </c>
      <c r="C58" s="4">
        <v>4</v>
      </c>
      <c r="D58" s="4">
        <v>4</v>
      </c>
      <c r="E58" s="4">
        <v>4</v>
      </c>
      <c r="F58" s="4">
        <v>4</v>
      </c>
    </row>
    <row r="59" spans="1:6" x14ac:dyDescent="0.3">
      <c r="A59" s="4">
        <v>58</v>
      </c>
      <c r="B59" s="6" t="s">
        <v>127</v>
      </c>
      <c r="C59" s="4">
        <v>1</v>
      </c>
      <c r="D59" s="4">
        <v>2</v>
      </c>
      <c r="E59" s="4">
        <v>4</v>
      </c>
      <c r="F59" s="4">
        <v>1</v>
      </c>
    </row>
    <row r="60" spans="1:6" x14ac:dyDescent="0.3">
      <c r="A60" s="4">
        <v>59</v>
      </c>
      <c r="B60" s="6" t="s">
        <v>128</v>
      </c>
      <c r="C60" s="4">
        <v>3</v>
      </c>
      <c r="D60" s="4">
        <v>3</v>
      </c>
      <c r="E60" s="4">
        <v>4</v>
      </c>
      <c r="F60" s="4">
        <v>3</v>
      </c>
    </row>
    <row r="61" spans="1:6" x14ac:dyDescent="0.3">
      <c r="A61" s="4">
        <v>60</v>
      </c>
      <c r="B61" s="6" t="s">
        <v>129</v>
      </c>
      <c r="C61" s="4">
        <v>1</v>
      </c>
      <c r="D61" s="4">
        <v>3</v>
      </c>
      <c r="E61" s="4">
        <v>4</v>
      </c>
      <c r="F61" s="4">
        <v>3</v>
      </c>
    </row>
    <row r="62" spans="1:6" x14ac:dyDescent="0.3">
      <c r="A62" s="4">
        <v>61</v>
      </c>
      <c r="B62" s="6" t="s">
        <v>130</v>
      </c>
      <c r="C62" s="4">
        <v>3</v>
      </c>
      <c r="D62" s="4">
        <v>3</v>
      </c>
      <c r="E62" s="4">
        <v>4</v>
      </c>
      <c r="F62" s="4">
        <v>3</v>
      </c>
    </row>
    <row r="63" spans="1:6" x14ac:dyDescent="0.3">
      <c r="A63" s="4">
        <v>62</v>
      </c>
      <c r="B63" s="6" t="s">
        <v>131</v>
      </c>
      <c r="C63" s="4">
        <v>3</v>
      </c>
      <c r="D63" s="4">
        <v>3</v>
      </c>
      <c r="E63" s="4">
        <v>4</v>
      </c>
      <c r="F63" s="4">
        <v>4</v>
      </c>
    </row>
    <row r="64" spans="1:6" x14ac:dyDescent="0.3">
      <c r="A64" s="4">
        <v>63</v>
      </c>
      <c r="B64" s="6" t="s">
        <v>132</v>
      </c>
      <c r="C64" s="4">
        <v>3</v>
      </c>
      <c r="D64" s="4">
        <v>3</v>
      </c>
      <c r="E64" s="4">
        <v>4</v>
      </c>
      <c r="F64" s="4">
        <v>3</v>
      </c>
    </row>
    <row r="65" spans="1:6" x14ac:dyDescent="0.3">
      <c r="A65" s="4">
        <v>64</v>
      </c>
      <c r="B65" s="6" t="s">
        <v>133</v>
      </c>
      <c r="C65" s="4">
        <v>3</v>
      </c>
      <c r="D65" s="4">
        <v>3</v>
      </c>
      <c r="E65" s="4">
        <v>4</v>
      </c>
      <c r="F65" s="4">
        <v>4</v>
      </c>
    </row>
    <row r="66" spans="1:6" x14ac:dyDescent="0.3">
      <c r="A66" s="4">
        <v>65</v>
      </c>
      <c r="B66" s="6" t="s">
        <v>134</v>
      </c>
      <c r="C66" s="4">
        <v>3</v>
      </c>
      <c r="D66" s="4">
        <v>3</v>
      </c>
      <c r="E66" s="4">
        <v>4</v>
      </c>
      <c r="F66" s="4">
        <v>3</v>
      </c>
    </row>
    <row r="67" spans="1:6" x14ac:dyDescent="0.3">
      <c r="A67" s="4">
        <v>66</v>
      </c>
      <c r="B67" s="6" t="s">
        <v>135</v>
      </c>
      <c r="C67" s="4">
        <v>3</v>
      </c>
      <c r="D67" s="4">
        <v>3</v>
      </c>
      <c r="E67" s="4">
        <v>4</v>
      </c>
      <c r="F67" s="4">
        <v>4</v>
      </c>
    </row>
    <row r="68" spans="1:6" x14ac:dyDescent="0.3">
      <c r="A68" s="4">
        <v>67</v>
      </c>
      <c r="B68" s="6" t="s">
        <v>136</v>
      </c>
      <c r="C68" s="4">
        <v>3</v>
      </c>
      <c r="D68" s="4">
        <v>2</v>
      </c>
      <c r="E68" s="4">
        <v>4</v>
      </c>
      <c r="F68" s="4">
        <v>3</v>
      </c>
    </row>
    <row r="69" spans="1:6" x14ac:dyDescent="0.3">
      <c r="A69" s="4">
        <v>68</v>
      </c>
      <c r="B69" s="6" t="s">
        <v>137</v>
      </c>
      <c r="C69" s="4">
        <v>3</v>
      </c>
      <c r="D69" s="4">
        <v>2</v>
      </c>
      <c r="E69" s="4">
        <v>3</v>
      </c>
      <c r="F69" s="4">
        <v>3</v>
      </c>
    </row>
    <row r="70" spans="1:6" x14ac:dyDescent="0.3">
      <c r="A70" s="4">
        <v>69</v>
      </c>
      <c r="B70" s="6" t="s">
        <v>138</v>
      </c>
      <c r="C70" s="4">
        <v>3</v>
      </c>
      <c r="D70" s="4">
        <v>2</v>
      </c>
      <c r="E70" s="4">
        <v>4</v>
      </c>
      <c r="F70" s="4">
        <v>2</v>
      </c>
    </row>
    <row r="71" spans="1:6" x14ac:dyDescent="0.3">
      <c r="A71" s="4">
        <v>70</v>
      </c>
      <c r="B71" s="6" t="s">
        <v>139</v>
      </c>
      <c r="C71" s="4">
        <v>3</v>
      </c>
      <c r="D71" s="4">
        <v>3</v>
      </c>
      <c r="E71" s="4">
        <v>4</v>
      </c>
      <c r="F71" s="4">
        <v>3</v>
      </c>
    </row>
    <row r="72" spans="1:6" x14ac:dyDescent="0.3">
      <c r="A72" s="4">
        <v>71</v>
      </c>
      <c r="B72" s="6" t="s">
        <v>140</v>
      </c>
      <c r="C72" s="4">
        <v>3</v>
      </c>
      <c r="D72" s="4">
        <v>2</v>
      </c>
      <c r="E72" s="4">
        <v>4</v>
      </c>
      <c r="F72" s="4">
        <v>3</v>
      </c>
    </row>
    <row r="73" spans="1:6" x14ac:dyDescent="0.3">
      <c r="A73" s="4">
        <v>72</v>
      </c>
      <c r="B73" s="6" t="s">
        <v>141</v>
      </c>
      <c r="C73" s="4">
        <v>3</v>
      </c>
      <c r="D73" s="4">
        <v>2</v>
      </c>
      <c r="E73" s="4">
        <v>4</v>
      </c>
      <c r="F73" s="4">
        <v>2</v>
      </c>
    </row>
    <row r="74" spans="1:6" x14ac:dyDescent="0.3">
      <c r="A74" s="4">
        <v>73</v>
      </c>
      <c r="B74" s="6" t="s">
        <v>142</v>
      </c>
      <c r="C74" s="4">
        <v>3</v>
      </c>
      <c r="D74" s="4">
        <v>2</v>
      </c>
      <c r="E74" s="4">
        <v>4</v>
      </c>
      <c r="F74" s="4">
        <v>3</v>
      </c>
    </row>
    <row r="75" spans="1:6" x14ac:dyDescent="0.3">
      <c r="A75" s="4">
        <v>74</v>
      </c>
      <c r="B75" s="6" t="s">
        <v>143</v>
      </c>
      <c r="C75" s="4">
        <v>3</v>
      </c>
      <c r="D75" s="4">
        <v>2</v>
      </c>
      <c r="E75" s="4">
        <v>4</v>
      </c>
      <c r="F75" s="4">
        <v>3</v>
      </c>
    </row>
    <row r="76" spans="1:6" x14ac:dyDescent="0.3">
      <c r="A76" s="4">
        <v>75</v>
      </c>
      <c r="B76" s="6" t="s">
        <v>144</v>
      </c>
      <c r="C76" s="4">
        <v>3</v>
      </c>
      <c r="D76" s="4">
        <v>2</v>
      </c>
      <c r="E76" s="4">
        <v>4</v>
      </c>
      <c r="F76" s="4">
        <v>3</v>
      </c>
    </row>
    <row r="77" spans="1:6" x14ac:dyDescent="0.3">
      <c r="A77" s="4">
        <v>76</v>
      </c>
      <c r="B77" s="6" t="s">
        <v>145</v>
      </c>
      <c r="C77" s="4">
        <v>3</v>
      </c>
      <c r="D77" s="4">
        <v>4</v>
      </c>
      <c r="E77" s="4">
        <v>4</v>
      </c>
      <c r="F77" s="4">
        <v>3</v>
      </c>
    </row>
    <row r="78" spans="1:6" x14ac:dyDescent="0.3">
      <c r="A78" s="4">
        <v>77</v>
      </c>
      <c r="B78" s="6" t="s">
        <v>146</v>
      </c>
      <c r="C78" s="4">
        <v>3</v>
      </c>
      <c r="D78" s="4">
        <v>3</v>
      </c>
      <c r="E78" s="4">
        <v>4</v>
      </c>
      <c r="F78" s="4">
        <v>3</v>
      </c>
    </row>
    <row r="79" spans="1:6" x14ac:dyDescent="0.3">
      <c r="A79" s="4">
        <v>78</v>
      </c>
      <c r="B79" s="6" t="s">
        <v>147</v>
      </c>
      <c r="C79" s="4">
        <v>3</v>
      </c>
      <c r="D79" s="4">
        <v>2</v>
      </c>
      <c r="E79" s="4">
        <v>4</v>
      </c>
      <c r="F79" s="4">
        <v>3</v>
      </c>
    </row>
    <row r="80" spans="1:6" x14ac:dyDescent="0.3">
      <c r="A80" s="4">
        <v>79</v>
      </c>
      <c r="B80" s="6" t="s">
        <v>148</v>
      </c>
      <c r="C80" s="4">
        <v>3</v>
      </c>
      <c r="D80" s="4">
        <v>2</v>
      </c>
      <c r="E80" s="4">
        <v>3</v>
      </c>
      <c r="F80" s="4">
        <v>3</v>
      </c>
    </row>
    <row r="81" spans="1:6" x14ac:dyDescent="0.3">
      <c r="A81" s="4">
        <v>80</v>
      </c>
      <c r="B81" s="6" t="s">
        <v>149</v>
      </c>
      <c r="C81" s="4">
        <v>3</v>
      </c>
      <c r="D81" s="4">
        <v>3</v>
      </c>
      <c r="E81" s="4">
        <v>3</v>
      </c>
      <c r="F81" s="4">
        <v>3</v>
      </c>
    </row>
    <row r="82" spans="1:6" x14ac:dyDescent="0.3">
      <c r="A82" s="4">
        <v>81</v>
      </c>
      <c r="B82" s="6" t="s">
        <v>150</v>
      </c>
      <c r="C82" s="4">
        <v>3</v>
      </c>
      <c r="D82" s="4">
        <v>2</v>
      </c>
      <c r="E82" s="4">
        <v>3</v>
      </c>
      <c r="F82" s="4">
        <v>3</v>
      </c>
    </row>
    <row r="83" spans="1:6" x14ac:dyDescent="0.3">
      <c r="A83" s="4">
        <v>82</v>
      </c>
      <c r="B83" s="6" t="s">
        <v>151</v>
      </c>
      <c r="C83" s="4">
        <v>4</v>
      </c>
      <c r="D83" s="4">
        <v>3</v>
      </c>
      <c r="E83" s="4">
        <v>3</v>
      </c>
      <c r="F83" s="4">
        <v>4</v>
      </c>
    </row>
    <row r="84" spans="1:6" x14ac:dyDescent="0.3">
      <c r="A84" s="4">
        <v>83</v>
      </c>
      <c r="B84" s="6" t="s">
        <v>152</v>
      </c>
      <c r="C84" s="4">
        <v>3</v>
      </c>
      <c r="D84" s="4">
        <v>3</v>
      </c>
      <c r="E84" s="4">
        <v>4</v>
      </c>
      <c r="F84" s="4">
        <v>3</v>
      </c>
    </row>
    <row r="85" spans="1:6" x14ac:dyDescent="0.3">
      <c r="A85" s="4">
        <v>84</v>
      </c>
      <c r="B85" s="6" t="s">
        <v>153</v>
      </c>
      <c r="C85" s="4">
        <v>3</v>
      </c>
      <c r="D85" s="4">
        <v>3</v>
      </c>
      <c r="E85" s="4">
        <v>4</v>
      </c>
      <c r="F85" s="4">
        <v>3</v>
      </c>
    </row>
    <row r="86" spans="1:6" x14ac:dyDescent="0.3">
      <c r="A86" s="4">
        <v>85</v>
      </c>
      <c r="B86" s="6" t="s">
        <v>154</v>
      </c>
      <c r="C86" s="4">
        <v>3</v>
      </c>
      <c r="D86" s="4">
        <v>3</v>
      </c>
      <c r="E86" s="4">
        <v>4</v>
      </c>
      <c r="F86" s="4">
        <v>3</v>
      </c>
    </row>
    <row r="87" spans="1:6" x14ac:dyDescent="0.3">
      <c r="A87" s="4">
        <v>86</v>
      </c>
      <c r="B87" s="6" t="s">
        <v>155</v>
      </c>
      <c r="C87" s="4">
        <v>1</v>
      </c>
      <c r="D87" s="4">
        <v>2</v>
      </c>
      <c r="E87" s="4">
        <v>3</v>
      </c>
      <c r="F87" s="4">
        <v>2</v>
      </c>
    </row>
    <row r="88" spans="1:6" x14ac:dyDescent="0.3">
      <c r="A88" s="4">
        <v>87</v>
      </c>
      <c r="B88" s="6" t="s">
        <v>156</v>
      </c>
      <c r="C88" s="4">
        <v>3</v>
      </c>
      <c r="D88" s="4">
        <v>2</v>
      </c>
      <c r="E88" s="4">
        <v>3</v>
      </c>
      <c r="F88" s="4">
        <v>2</v>
      </c>
    </row>
    <row r="89" spans="1:6" x14ac:dyDescent="0.3">
      <c r="A89" s="4">
        <v>88</v>
      </c>
      <c r="B89" s="6" t="s">
        <v>157</v>
      </c>
      <c r="C89" s="4">
        <v>3</v>
      </c>
      <c r="D89" s="4">
        <v>3</v>
      </c>
      <c r="E89" s="4">
        <v>3</v>
      </c>
      <c r="F89" s="4">
        <v>2</v>
      </c>
    </row>
    <row r="90" spans="1:6" x14ac:dyDescent="0.3">
      <c r="A90" s="4">
        <v>89</v>
      </c>
      <c r="B90" s="6" t="s">
        <v>158</v>
      </c>
      <c r="C90" s="4">
        <v>3</v>
      </c>
      <c r="D90" s="4">
        <v>1</v>
      </c>
      <c r="E90" s="4">
        <v>3</v>
      </c>
      <c r="F90" s="4">
        <v>3</v>
      </c>
    </row>
    <row r="91" spans="1:6" x14ac:dyDescent="0.3">
      <c r="A91" s="4">
        <v>90</v>
      </c>
      <c r="B91" s="6" t="s">
        <v>159</v>
      </c>
      <c r="C91" s="4">
        <v>3</v>
      </c>
      <c r="D91" s="4">
        <v>2</v>
      </c>
      <c r="E91" s="4">
        <v>3</v>
      </c>
      <c r="F91" s="4">
        <v>2</v>
      </c>
    </row>
    <row r="92" spans="1:6" x14ac:dyDescent="0.3">
      <c r="A92" s="4">
        <v>91</v>
      </c>
      <c r="B92" s="6" t="s">
        <v>160</v>
      </c>
      <c r="C92" s="4">
        <v>3</v>
      </c>
      <c r="D92" s="4">
        <v>3</v>
      </c>
      <c r="E92" s="4">
        <v>3</v>
      </c>
      <c r="F92" s="4">
        <v>3</v>
      </c>
    </row>
    <row r="93" spans="1:6" x14ac:dyDescent="0.3">
      <c r="A93" s="4">
        <v>92</v>
      </c>
      <c r="B93" s="6" t="s">
        <v>161</v>
      </c>
      <c r="C93" s="4">
        <v>3</v>
      </c>
      <c r="D93" s="4">
        <v>3</v>
      </c>
      <c r="E93" s="4">
        <v>3</v>
      </c>
      <c r="F93" s="4">
        <v>3</v>
      </c>
    </row>
    <row r="94" spans="1:6" x14ac:dyDescent="0.3">
      <c r="A94" s="4">
        <v>93</v>
      </c>
      <c r="B94" s="6" t="s">
        <v>162</v>
      </c>
      <c r="C94" s="4">
        <v>3</v>
      </c>
      <c r="D94" s="4">
        <v>1</v>
      </c>
      <c r="E94" s="4">
        <v>3</v>
      </c>
      <c r="F94" s="4">
        <v>3</v>
      </c>
    </row>
    <row r="95" spans="1:6" x14ac:dyDescent="0.3">
      <c r="A95" s="4">
        <v>94</v>
      </c>
      <c r="B95" s="6" t="s">
        <v>163</v>
      </c>
      <c r="C95" s="4">
        <v>3</v>
      </c>
      <c r="D95" s="4">
        <v>2</v>
      </c>
      <c r="E95" s="4">
        <v>3</v>
      </c>
      <c r="F95" s="4">
        <v>3</v>
      </c>
    </row>
    <row r="96" spans="1:6" x14ac:dyDescent="0.3">
      <c r="A96" s="4">
        <v>95</v>
      </c>
      <c r="B96" s="6" t="s">
        <v>164</v>
      </c>
      <c r="C96" s="4">
        <v>3</v>
      </c>
      <c r="D96" s="4">
        <v>3</v>
      </c>
      <c r="E96" s="4">
        <v>3</v>
      </c>
      <c r="F96" s="4">
        <v>3</v>
      </c>
    </row>
    <row r="97" spans="1:6" x14ac:dyDescent="0.3">
      <c r="A97" s="4">
        <v>96</v>
      </c>
      <c r="B97" s="6" t="s">
        <v>165</v>
      </c>
      <c r="C97" s="4">
        <v>3</v>
      </c>
      <c r="D97" s="4">
        <v>3</v>
      </c>
      <c r="E97" s="4">
        <v>3</v>
      </c>
      <c r="F97" s="4">
        <v>3</v>
      </c>
    </row>
    <row r="98" spans="1:6" x14ac:dyDescent="0.3">
      <c r="A98" s="4">
        <v>97</v>
      </c>
      <c r="B98" s="6" t="s">
        <v>166</v>
      </c>
      <c r="C98" s="4">
        <v>1</v>
      </c>
      <c r="D98" s="4">
        <v>1</v>
      </c>
      <c r="E98" s="4">
        <v>3</v>
      </c>
      <c r="F98" s="4">
        <v>2</v>
      </c>
    </row>
    <row r="99" spans="1:6" x14ac:dyDescent="0.3">
      <c r="A99" s="4">
        <v>98</v>
      </c>
      <c r="B99" s="6" t="s">
        <v>167</v>
      </c>
      <c r="C99" s="4">
        <v>1</v>
      </c>
      <c r="D99" s="4">
        <v>1</v>
      </c>
      <c r="E99" s="4">
        <v>3</v>
      </c>
      <c r="F99" s="4">
        <v>1</v>
      </c>
    </row>
    <row r="100" spans="1:6" x14ac:dyDescent="0.3">
      <c r="A100" s="4">
        <v>99</v>
      </c>
      <c r="B100" s="6" t="s">
        <v>168</v>
      </c>
      <c r="C100" s="4">
        <v>1</v>
      </c>
      <c r="D100" s="4">
        <v>1</v>
      </c>
      <c r="E100" s="4">
        <v>3</v>
      </c>
      <c r="F100" s="4">
        <v>1</v>
      </c>
    </row>
    <row r="101" spans="1:6" x14ac:dyDescent="0.3">
      <c r="A101" s="4">
        <v>100</v>
      </c>
      <c r="B101" s="6" t="s">
        <v>169</v>
      </c>
      <c r="C101" s="4">
        <v>3</v>
      </c>
      <c r="D101" s="4">
        <v>3</v>
      </c>
      <c r="E101" s="4">
        <v>3</v>
      </c>
      <c r="F101" s="4">
        <v>4</v>
      </c>
    </row>
    <row r="102" spans="1:6" x14ac:dyDescent="0.3">
      <c r="A102" s="4">
        <v>101</v>
      </c>
      <c r="B102" s="6" t="s">
        <v>170</v>
      </c>
      <c r="C102" s="4">
        <v>1</v>
      </c>
      <c r="D102" s="4">
        <v>2</v>
      </c>
      <c r="E102" s="4">
        <v>3</v>
      </c>
      <c r="F102" s="4">
        <v>2</v>
      </c>
    </row>
    <row r="103" spans="1:6" x14ac:dyDescent="0.3">
      <c r="A103" s="4">
        <v>102</v>
      </c>
      <c r="B103" s="6" t="s">
        <v>171</v>
      </c>
      <c r="C103" s="4">
        <v>1</v>
      </c>
      <c r="D103" s="4">
        <v>3</v>
      </c>
      <c r="E103" s="4">
        <v>3</v>
      </c>
      <c r="F103" s="4">
        <v>3</v>
      </c>
    </row>
    <row r="104" spans="1:6" x14ac:dyDescent="0.3">
      <c r="A104" s="4">
        <v>103</v>
      </c>
      <c r="B104" s="6" t="s">
        <v>172</v>
      </c>
      <c r="C104" s="4">
        <v>1</v>
      </c>
      <c r="D104" s="4">
        <v>2</v>
      </c>
      <c r="E104" s="4">
        <v>3</v>
      </c>
      <c r="F104" s="4">
        <v>2</v>
      </c>
    </row>
    <row r="105" spans="1:6" x14ac:dyDescent="0.3">
      <c r="A105" s="4">
        <v>104</v>
      </c>
      <c r="B105" s="6" t="s">
        <v>173</v>
      </c>
      <c r="C105" s="4">
        <v>3</v>
      </c>
      <c r="D105" s="4">
        <v>3</v>
      </c>
      <c r="E105" s="4">
        <v>3</v>
      </c>
      <c r="F105" s="4">
        <v>4</v>
      </c>
    </row>
    <row r="106" spans="1:6" x14ac:dyDescent="0.3">
      <c r="A106" s="4">
        <v>105</v>
      </c>
      <c r="B106" s="6" t="s">
        <v>174</v>
      </c>
      <c r="C106" s="4">
        <v>3</v>
      </c>
      <c r="D106" s="4">
        <v>3</v>
      </c>
      <c r="E106" s="4">
        <v>3</v>
      </c>
      <c r="F106" s="4">
        <v>4</v>
      </c>
    </row>
    <row r="107" spans="1:6" x14ac:dyDescent="0.3">
      <c r="A107" s="4">
        <v>106</v>
      </c>
      <c r="B107" s="6" t="s">
        <v>175</v>
      </c>
      <c r="C107" s="4">
        <v>1</v>
      </c>
      <c r="D107" s="4">
        <v>2</v>
      </c>
      <c r="E107" s="4">
        <v>3</v>
      </c>
      <c r="F107" s="4">
        <v>2</v>
      </c>
    </row>
    <row r="108" spans="1:6" x14ac:dyDescent="0.3">
      <c r="A108" s="4">
        <v>107</v>
      </c>
      <c r="B108" s="6" t="s">
        <v>176</v>
      </c>
      <c r="C108" s="4">
        <v>3</v>
      </c>
      <c r="D108" s="4">
        <v>3</v>
      </c>
      <c r="E108" s="4">
        <v>3</v>
      </c>
      <c r="F108" s="4">
        <v>3</v>
      </c>
    </row>
    <row r="109" spans="1:6" x14ac:dyDescent="0.3">
      <c r="A109" s="4">
        <v>108</v>
      </c>
      <c r="B109" s="6" t="s">
        <v>177</v>
      </c>
      <c r="C109" s="4">
        <v>3</v>
      </c>
      <c r="D109" s="4">
        <v>3</v>
      </c>
      <c r="E109" s="4">
        <v>3</v>
      </c>
      <c r="F109" s="4">
        <v>2</v>
      </c>
    </row>
    <row r="110" spans="1:6" x14ac:dyDescent="0.3">
      <c r="A110" s="4">
        <v>109</v>
      </c>
      <c r="B110" s="6" t="s">
        <v>178</v>
      </c>
      <c r="C110" s="4">
        <v>3</v>
      </c>
      <c r="D110" s="4">
        <v>3</v>
      </c>
      <c r="E110" s="4">
        <v>3</v>
      </c>
      <c r="F110" s="4">
        <v>2</v>
      </c>
    </row>
    <row r="111" spans="1:6" x14ac:dyDescent="0.3">
      <c r="A111" s="4">
        <v>110</v>
      </c>
      <c r="B111" s="6" t="s">
        <v>179</v>
      </c>
      <c r="C111" s="4">
        <v>3</v>
      </c>
      <c r="D111" s="4">
        <v>3</v>
      </c>
      <c r="E111" s="4">
        <v>3</v>
      </c>
      <c r="F111" s="4">
        <v>3</v>
      </c>
    </row>
    <row r="112" spans="1:6" x14ac:dyDescent="0.3">
      <c r="A112" s="4">
        <v>111</v>
      </c>
      <c r="B112" s="6" t="s">
        <v>180</v>
      </c>
      <c r="C112" s="4">
        <v>1</v>
      </c>
      <c r="D112" s="4">
        <v>3</v>
      </c>
      <c r="E112" s="4">
        <v>3</v>
      </c>
      <c r="F112" s="4">
        <v>3</v>
      </c>
    </row>
    <row r="113" spans="1:6" x14ac:dyDescent="0.3">
      <c r="A113" s="4">
        <v>112</v>
      </c>
      <c r="B113" s="6" t="s">
        <v>232</v>
      </c>
      <c r="C113" s="4">
        <v>4</v>
      </c>
      <c r="D113" s="4">
        <v>2</v>
      </c>
      <c r="E113" s="4">
        <v>3</v>
      </c>
      <c r="F113" s="4">
        <v>3</v>
      </c>
    </row>
    <row r="114" spans="1:6" x14ac:dyDescent="0.3">
      <c r="A114" s="4">
        <v>113</v>
      </c>
      <c r="B114" s="6" t="s">
        <v>181</v>
      </c>
      <c r="C114" s="4">
        <v>4</v>
      </c>
      <c r="D114" s="4">
        <v>3</v>
      </c>
      <c r="E114" s="4">
        <v>3</v>
      </c>
      <c r="F114" s="4">
        <v>4</v>
      </c>
    </row>
    <row r="115" spans="1:6" x14ac:dyDescent="0.3">
      <c r="A115" s="4">
        <v>114</v>
      </c>
      <c r="B115" s="6" t="s">
        <v>182</v>
      </c>
      <c r="C115" s="4">
        <v>4</v>
      </c>
      <c r="D115" s="4">
        <v>3</v>
      </c>
      <c r="E115" s="4">
        <v>3</v>
      </c>
      <c r="F115" s="4">
        <v>4</v>
      </c>
    </row>
    <row r="116" spans="1:6" x14ac:dyDescent="0.3">
      <c r="A116" s="4">
        <v>115</v>
      </c>
      <c r="B116" s="6" t="s">
        <v>183</v>
      </c>
      <c r="C116" s="4">
        <v>3</v>
      </c>
      <c r="D116" s="4">
        <v>3</v>
      </c>
      <c r="E116" s="4">
        <v>3</v>
      </c>
      <c r="F116" s="4">
        <v>4</v>
      </c>
    </row>
    <row r="117" spans="1:6" x14ac:dyDescent="0.3">
      <c r="A117" s="4">
        <v>116</v>
      </c>
      <c r="B117" s="6" t="s">
        <v>184</v>
      </c>
      <c r="C117" s="4">
        <v>3</v>
      </c>
      <c r="D117" s="4">
        <v>2</v>
      </c>
      <c r="E117" s="4">
        <v>3</v>
      </c>
      <c r="F117" s="4">
        <v>3</v>
      </c>
    </row>
    <row r="118" spans="1:6" x14ac:dyDescent="0.3">
      <c r="A118" s="4">
        <v>117</v>
      </c>
      <c r="B118" s="6" t="s">
        <v>185</v>
      </c>
      <c r="C118" s="4">
        <v>3</v>
      </c>
      <c r="D118" s="4">
        <v>3</v>
      </c>
      <c r="E118" s="4">
        <v>3</v>
      </c>
      <c r="F118" s="4">
        <v>3</v>
      </c>
    </row>
    <row r="119" spans="1:6" x14ac:dyDescent="0.3">
      <c r="A119" s="4">
        <v>118</v>
      </c>
      <c r="B119" s="6" t="s">
        <v>186</v>
      </c>
      <c r="C119" s="4">
        <v>3</v>
      </c>
      <c r="D119" s="4">
        <v>3</v>
      </c>
      <c r="E119" s="4">
        <v>3</v>
      </c>
      <c r="F119" s="4">
        <v>3</v>
      </c>
    </row>
    <row r="120" spans="1:6" x14ac:dyDescent="0.3">
      <c r="A120" s="4">
        <v>119</v>
      </c>
      <c r="B120" s="6" t="s">
        <v>187</v>
      </c>
      <c r="C120" s="4">
        <v>3</v>
      </c>
      <c r="D120" s="4">
        <v>3</v>
      </c>
      <c r="E120" s="4">
        <v>4</v>
      </c>
      <c r="F120" s="4">
        <v>3</v>
      </c>
    </row>
    <row r="121" spans="1:6" x14ac:dyDescent="0.3">
      <c r="A121" s="4">
        <v>120</v>
      </c>
      <c r="B121" s="6" t="s">
        <v>188</v>
      </c>
      <c r="C121" s="4">
        <v>3</v>
      </c>
      <c r="D121" s="4">
        <v>3</v>
      </c>
      <c r="E121" s="4">
        <v>4</v>
      </c>
      <c r="F121" s="4">
        <v>3</v>
      </c>
    </row>
    <row r="122" spans="1:6" x14ac:dyDescent="0.3">
      <c r="A122" s="4">
        <v>121</v>
      </c>
      <c r="B122" s="6" t="s">
        <v>189</v>
      </c>
      <c r="C122" s="4">
        <v>3</v>
      </c>
      <c r="D122" s="4">
        <v>3</v>
      </c>
      <c r="E122" s="4">
        <v>4</v>
      </c>
      <c r="F122" s="4">
        <v>1</v>
      </c>
    </row>
    <row r="123" spans="1:6" x14ac:dyDescent="0.3">
      <c r="A123" s="4">
        <v>122</v>
      </c>
      <c r="B123" s="6" t="s">
        <v>190</v>
      </c>
      <c r="C123" s="4">
        <v>3</v>
      </c>
      <c r="D123" s="4">
        <v>4</v>
      </c>
      <c r="E123" s="4">
        <v>4</v>
      </c>
      <c r="F123" s="4">
        <v>3</v>
      </c>
    </row>
    <row r="124" spans="1:6" x14ac:dyDescent="0.3">
      <c r="A124" s="4">
        <v>123</v>
      </c>
      <c r="B124" s="6" t="s">
        <v>191</v>
      </c>
      <c r="C124" s="4">
        <v>3</v>
      </c>
      <c r="D124" s="4">
        <v>3</v>
      </c>
      <c r="E124" s="4">
        <v>4</v>
      </c>
      <c r="F124" s="4">
        <v>3</v>
      </c>
    </row>
    <row r="125" spans="1:6" x14ac:dyDescent="0.3">
      <c r="A125" s="4">
        <v>124</v>
      </c>
      <c r="B125" s="6" t="s">
        <v>192</v>
      </c>
      <c r="C125" s="4">
        <v>3</v>
      </c>
      <c r="D125" s="4">
        <v>3</v>
      </c>
      <c r="E125" s="4">
        <v>4</v>
      </c>
      <c r="F125" s="4">
        <v>4</v>
      </c>
    </row>
    <row r="126" spans="1:6" x14ac:dyDescent="0.3">
      <c r="A126" s="4">
        <v>125</v>
      </c>
      <c r="B126" s="6" t="s">
        <v>193</v>
      </c>
      <c r="C126" s="4">
        <v>3</v>
      </c>
      <c r="D126" s="4">
        <v>2</v>
      </c>
      <c r="E126" s="4">
        <v>2</v>
      </c>
      <c r="F126" s="4">
        <v>3</v>
      </c>
    </row>
    <row r="127" spans="1:6" x14ac:dyDescent="0.3">
      <c r="A127" s="4">
        <v>126</v>
      </c>
      <c r="B127" s="6" t="s">
        <v>194</v>
      </c>
      <c r="C127" s="4">
        <v>3</v>
      </c>
      <c r="D127" s="4">
        <v>2</v>
      </c>
      <c r="E127" s="4">
        <v>4</v>
      </c>
      <c r="F127" s="4">
        <v>4</v>
      </c>
    </row>
    <row r="128" spans="1:6" x14ac:dyDescent="0.3">
      <c r="A128" s="4">
        <v>127</v>
      </c>
      <c r="B128" s="6" t="s">
        <v>195</v>
      </c>
      <c r="C128" s="4">
        <v>1</v>
      </c>
      <c r="D128" s="4">
        <v>1</v>
      </c>
      <c r="E128" s="4">
        <v>1</v>
      </c>
      <c r="F128" s="4">
        <v>2</v>
      </c>
    </row>
    <row r="129" spans="1:6" x14ac:dyDescent="0.3">
      <c r="A129" s="4">
        <v>128</v>
      </c>
      <c r="B129" s="6" t="s">
        <v>196</v>
      </c>
      <c r="C129" s="4">
        <v>1</v>
      </c>
      <c r="D129" s="4">
        <v>1</v>
      </c>
      <c r="E129" s="4">
        <v>1</v>
      </c>
      <c r="F129" s="4">
        <v>3</v>
      </c>
    </row>
    <row r="130" spans="1:6" x14ac:dyDescent="0.3">
      <c r="A130" s="4">
        <v>129</v>
      </c>
      <c r="B130" s="6" t="s">
        <v>197</v>
      </c>
      <c r="C130" s="4">
        <v>1</v>
      </c>
      <c r="D130" s="4">
        <v>2</v>
      </c>
      <c r="E130" s="4">
        <v>1</v>
      </c>
      <c r="F130" s="4">
        <v>3</v>
      </c>
    </row>
    <row r="131" spans="1:6" x14ac:dyDescent="0.3">
      <c r="A131" s="4">
        <v>130</v>
      </c>
      <c r="B131" s="6" t="s">
        <v>198</v>
      </c>
      <c r="C131" s="4">
        <v>1</v>
      </c>
      <c r="D131" s="4">
        <v>1</v>
      </c>
      <c r="E131" s="4">
        <v>1</v>
      </c>
      <c r="F131" s="4">
        <v>3</v>
      </c>
    </row>
    <row r="132" spans="1:6" x14ac:dyDescent="0.3">
      <c r="A132" s="4">
        <v>131</v>
      </c>
      <c r="B132" s="6" t="s">
        <v>199</v>
      </c>
      <c r="C132" s="4">
        <v>1</v>
      </c>
      <c r="D132" s="4">
        <v>2</v>
      </c>
      <c r="E132" s="4">
        <v>3</v>
      </c>
      <c r="F132" s="4">
        <v>3</v>
      </c>
    </row>
    <row r="133" spans="1:6" x14ac:dyDescent="0.3">
      <c r="A133" s="4">
        <v>132</v>
      </c>
      <c r="B133" s="6" t="s">
        <v>200</v>
      </c>
      <c r="C133" s="4">
        <v>1</v>
      </c>
      <c r="D133" s="4">
        <v>2</v>
      </c>
      <c r="E133" s="4">
        <v>3</v>
      </c>
      <c r="F133" s="4">
        <v>3</v>
      </c>
    </row>
    <row r="134" spans="1:6" x14ac:dyDescent="0.3">
      <c r="A134" s="4">
        <v>133</v>
      </c>
      <c r="B134" s="6" t="s">
        <v>201</v>
      </c>
      <c r="C134" s="4">
        <v>1</v>
      </c>
      <c r="D134" s="4">
        <v>2</v>
      </c>
      <c r="E134" s="4">
        <v>3</v>
      </c>
      <c r="F134" s="4">
        <v>3</v>
      </c>
    </row>
    <row r="135" spans="1:6" x14ac:dyDescent="0.3">
      <c r="A135" s="4">
        <v>134</v>
      </c>
      <c r="B135" s="6" t="s">
        <v>202</v>
      </c>
      <c r="C135" s="4">
        <v>1</v>
      </c>
      <c r="D135" s="4">
        <v>2</v>
      </c>
      <c r="E135" s="4">
        <v>4</v>
      </c>
      <c r="F135" s="4">
        <v>3</v>
      </c>
    </row>
    <row r="136" spans="1:6" x14ac:dyDescent="0.3">
      <c r="A136" s="4">
        <v>135</v>
      </c>
      <c r="B136" s="6" t="s">
        <v>203</v>
      </c>
      <c r="C136" s="4">
        <v>1</v>
      </c>
      <c r="D136" s="4">
        <v>1</v>
      </c>
      <c r="E136" s="4">
        <v>3</v>
      </c>
      <c r="F136" s="4">
        <v>3</v>
      </c>
    </row>
    <row r="137" spans="1:6" x14ac:dyDescent="0.3">
      <c r="A137" s="4">
        <v>136</v>
      </c>
      <c r="B137" s="6" t="s">
        <v>204</v>
      </c>
      <c r="C137" s="4">
        <v>1</v>
      </c>
      <c r="D137" s="4">
        <v>1</v>
      </c>
      <c r="E137" s="4">
        <v>4</v>
      </c>
      <c r="F137" s="4">
        <v>3</v>
      </c>
    </row>
    <row r="138" spans="1:6" x14ac:dyDescent="0.3">
      <c r="A138" s="4">
        <v>137</v>
      </c>
      <c r="B138" s="6" t="s">
        <v>205</v>
      </c>
      <c r="C138" s="4">
        <v>1</v>
      </c>
      <c r="D138" s="4">
        <v>3</v>
      </c>
      <c r="E138" s="4">
        <v>4</v>
      </c>
      <c r="F138" s="4">
        <v>4</v>
      </c>
    </row>
    <row r="139" spans="1:6" x14ac:dyDescent="0.3">
      <c r="A139" s="4">
        <v>138</v>
      </c>
      <c r="B139" s="6" t="s">
        <v>206</v>
      </c>
      <c r="C139" s="4">
        <v>3</v>
      </c>
      <c r="D139" s="4">
        <v>2</v>
      </c>
      <c r="E139" s="4">
        <v>1</v>
      </c>
      <c r="F139" s="4">
        <v>3</v>
      </c>
    </row>
    <row r="140" spans="1:6" x14ac:dyDescent="0.3">
      <c r="A140" s="4">
        <v>139</v>
      </c>
      <c r="B140" s="6" t="s">
        <v>207</v>
      </c>
      <c r="C140" s="4">
        <v>3</v>
      </c>
      <c r="D140" s="4">
        <v>3</v>
      </c>
      <c r="E140" s="4">
        <v>1</v>
      </c>
      <c r="F140" s="4">
        <v>3</v>
      </c>
    </row>
    <row r="141" spans="1:6" x14ac:dyDescent="0.3">
      <c r="A141" s="4">
        <v>140</v>
      </c>
      <c r="B141" s="6" t="s">
        <v>208</v>
      </c>
      <c r="C141" s="4">
        <v>3</v>
      </c>
      <c r="D141" s="4">
        <v>3</v>
      </c>
      <c r="E141" s="4">
        <v>3</v>
      </c>
      <c r="F141" s="4">
        <v>3</v>
      </c>
    </row>
    <row r="142" spans="1:6" x14ac:dyDescent="0.3">
      <c r="A142" s="4">
        <v>141</v>
      </c>
      <c r="B142" s="6" t="s">
        <v>209</v>
      </c>
      <c r="C142" s="4">
        <v>3</v>
      </c>
      <c r="D142" s="4">
        <v>2</v>
      </c>
      <c r="E142" s="4">
        <v>1</v>
      </c>
      <c r="F142" s="4">
        <v>3</v>
      </c>
    </row>
    <row r="143" spans="1:6" x14ac:dyDescent="0.3">
      <c r="A143" s="4">
        <v>142</v>
      </c>
      <c r="B143" s="6" t="s">
        <v>210</v>
      </c>
      <c r="C143" s="4">
        <v>1</v>
      </c>
      <c r="D143" s="4">
        <v>2</v>
      </c>
      <c r="E143" s="4">
        <v>3</v>
      </c>
      <c r="F143" s="4">
        <v>3</v>
      </c>
    </row>
    <row r="144" spans="1:6" x14ac:dyDescent="0.3">
      <c r="A144" s="4">
        <v>143</v>
      </c>
      <c r="B144" s="6" t="s">
        <v>211</v>
      </c>
      <c r="C144" s="4">
        <v>3</v>
      </c>
      <c r="D144" s="4">
        <v>3</v>
      </c>
      <c r="E144" s="4">
        <v>3</v>
      </c>
      <c r="F144" s="4">
        <v>3</v>
      </c>
    </row>
    <row r="145" spans="1:6" x14ac:dyDescent="0.3">
      <c r="A145" s="4">
        <v>144</v>
      </c>
      <c r="B145" s="6" t="s">
        <v>212</v>
      </c>
      <c r="C145" s="4">
        <v>3</v>
      </c>
      <c r="D145" s="4">
        <v>2</v>
      </c>
      <c r="E145" s="4">
        <v>3</v>
      </c>
      <c r="F145" s="4">
        <v>3</v>
      </c>
    </row>
    <row r="146" spans="1:6" x14ac:dyDescent="0.3">
      <c r="A146" s="4">
        <v>145</v>
      </c>
      <c r="B146" s="6" t="s">
        <v>213</v>
      </c>
      <c r="C146" s="4">
        <v>3</v>
      </c>
      <c r="D146" s="4">
        <v>3</v>
      </c>
      <c r="E146" s="4">
        <v>3</v>
      </c>
      <c r="F146" s="4">
        <v>3</v>
      </c>
    </row>
    <row r="147" spans="1:6" x14ac:dyDescent="0.3">
      <c r="A147" s="4">
        <v>146</v>
      </c>
      <c r="B147" s="6" t="s">
        <v>214</v>
      </c>
      <c r="C147" s="4">
        <v>3</v>
      </c>
      <c r="D147" s="4">
        <v>3</v>
      </c>
      <c r="E147" s="4">
        <v>3</v>
      </c>
      <c r="F147" s="4">
        <v>2</v>
      </c>
    </row>
    <row r="148" spans="1:6" x14ac:dyDescent="0.3">
      <c r="A148" s="4">
        <v>147</v>
      </c>
      <c r="B148" s="6" t="s">
        <v>215</v>
      </c>
      <c r="C148" s="4">
        <v>3</v>
      </c>
      <c r="D148" s="4">
        <v>3</v>
      </c>
      <c r="E148" s="4">
        <v>3</v>
      </c>
      <c r="F148" s="4">
        <v>3</v>
      </c>
    </row>
    <row r="149" spans="1:6" x14ac:dyDescent="0.3">
      <c r="A149" s="4">
        <v>148</v>
      </c>
      <c r="B149" s="6" t="s">
        <v>216</v>
      </c>
      <c r="C149" s="4">
        <v>3</v>
      </c>
      <c r="D149" s="4">
        <v>3</v>
      </c>
      <c r="E149" s="4">
        <v>3</v>
      </c>
      <c r="F149" s="4">
        <v>3</v>
      </c>
    </row>
    <row r="150" spans="1:6" x14ac:dyDescent="0.3">
      <c r="A150" s="4">
        <v>149</v>
      </c>
      <c r="B150" s="6" t="s">
        <v>217</v>
      </c>
      <c r="C150" s="4">
        <v>3</v>
      </c>
      <c r="D150" s="4">
        <v>2</v>
      </c>
      <c r="E150" s="4">
        <v>3</v>
      </c>
      <c r="F150" s="4">
        <v>3</v>
      </c>
    </row>
    <row r="151" spans="1:6" x14ac:dyDescent="0.3">
      <c r="A151" s="4">
        <v>150</v>
      </c>
      <c r="B151" s="6" t="s">
        <v>218</v>
      </c>
      <c r="C151" s="4">
        <v>3</v>
      </c>
      <c r="D151" s="4">
        <v>2</v>
      </c>
      <c r="E151" s="4">
        <v>3</v>
      </c>
      <c r="F151" s="4">
        <v>3</v>
      </c>
    </row>
    <row r="152" spans="1:6" x14ac:dyDescent="0.3">
      <c r="A152" s="4">
        <v>151</v>
      </c>
      <c r="B152" s="6" t="s">
        <v>219</v>
      </c>
      <c r="C152" s="4">
        <v>3</v>
      </c>
      <c r="D152" s="4">
        <v>2</v>
      </c>
      <c r="E152" s="4">
        <v>3</v>
      </c>
      <c r="F152" s="4">
        <v>3</v>
      </c>
    </row>
    <row r="153" spans="1:6" x14ac:dyDescent="0.3">
      <c r="A153" s="4">
        <v>152</v>
      </c>
      <c r="B153" s="6" t="s">
        <v>220</v>
      </c>
      <c r="C153" s="4">
        <v>3</v>
      </c>
      <c r="D153" s="4">
        <v>2</v>
      </c>
      <c r="E153" s="4">
        <v>3</v>
      </c>
      <c r="F153" s="4">
        <v>3</v>
      </c>
    </row>
    <row r="154" spans="1:6" x14ac:dyDescent="0.3">
      <c r="A154" s="4">
        <v>153</v>
      </c>
      <c r="B154" s="6" t="s">
        <v>221</v>
      </c>
      <c r="C154" s="4">
        <v>1</v>
      </c>
      <c r="D154" s="4">
        <v>2</v>
      </c>
      <c r="E154" s="4">
        <v>3</v>
      </c>
      <c r="F154" s="4">
        <v>3</v>
      </c>
    </row>
    <row r="155" spans="1:6" x14ac:dyDescent="0.3">
      <c r="A155" s="4">
        <v>154</v>
      </c>
      <c r="B155" s="6" t="s">
        <v>222</v>
      </c>
      <c r="C155" s="4">
        <v>1</v>
      </c>
      <c r="D155" s="4">
        <v>3</v>
      </c>
      <c r="E155" s="4">
        <v>3</v>
      </c>
      <c r="F155" s="4">
        <v>4</v>
      </c>
    </row>
    <row r="156" spans="1:6" x14ac:dyDescent="0.3">
      <c r="A156" s="4">
        <v>155</v>
      </c>
      <c r="B156" s="6" t="s">
        <v>223</v>
      </c>
      <c r="C156" s="4">
        <v>3</v>
      </c>
      <c r="D156" s="4">
        <v>2</v>
      </c>
      <c r="E156" s="4">
        <v>3</v>
      </c>
      <c r="F156" s="4">
        <v>3</v>
      </c>
    </row>
    <row r="157" spans="1:6" x14ac:dyDescent="0.3">
      <c r="A157" s="4">
        <v>156</v>
      </c>
      <c r="B157" s="6" t="s">
        <v>224</v>
      </c>
      <c r="C157" s="4">
        <v>1</v>
      </c>
      <c r="D157" s="4">
        <v>2</v>
      </c>
      <c r="E157" s="4">
        <v>3</v>
      </c>
      <c r="F157" s="4">
        <v>2</v>
      </c>
    </row>
    <row r="158" spans="1:6" x14ac:dyDescent="0.3">
      <c r="A158" s="4">
        <v>157</v>
      </c>
      <c r="B158" s="6" t="s">
        <v>225</v>
      </c>
      <c r="C158" s="4">
        <v>1</v>
      </c>
      <c r="D158" s="4">
        <v>1</v>
      </c>
      <c r="E158" s="4">
        <v>3</v>
      </c>
      <c r="F158" s="4">
        <v>2</v>
      </c>
    </row>
    <row r="159" spans="1:6" x14ac:dyDescent="0.3">
      <c r="A159" s="4">
        <v>158</v>
      </c>
      <c r="B159" s="6" t="s">
        <v>226</v>
      </c>
      <c r="C159" s="4">
        <v>3</v>
      </c>
      <c r="D159" s="4">
        <v>3</v>
      </c>
      <c r="E159" s="4">
        <v>3</v>
      </c>
      <c r="F159" s="4">
        <v>3</v>
      </c>
    </row>
    <row r="160" spans="1:6" x14ac:dyDescent="0.3">
      <c r="A160" s="4">
        <v>159</v>
      </c>
      <c r="B160" s="6" t="s">
        <v>227</v>
      </c>
      <c r="C160" s="4">
        <v>3</v>
      </c>
      <c r="D160" s="4">
        <v>4</v>
      </c>
      <c r="E160" s="4">
        <v>4</v>
      </c>
      <c r="F160" s="4">
        <v>4</v>
      </c>
    </row>
    <row r="161" spans="1:6" x14ac:dyDescent="0.3">
      <c r="A161" s="4">
        <v>160</v>
      </c>
      <c r="B161" s="6" t="s">
        <v>228</v>
      </c>
      <c r="C161" s="4">
        <v>3</v>
      </c>
      <c r="D161" s="4">
        <v>4</v>
      </c>
      <c r="E161" s="4">
        <v>4</v>
      </c>
      <c r="F161" s="4">
        <v>4</v>
      </c>
    </row>
    <row r="162" spans="1:6" x14ac:dyDescent="0.3">
      <c r="A162" s="4">
        <v>161</v>
      </c>
      <c r="B162" s="6" t="s">
        <v>229</v>
      </c>
      <c r="C162" s="4">
        <v>3</v>
      </c>
      <c r="D162" s="4">
        <v>4</v>
      </c>
      <c r="E162" s="4">
        <v>4</v>
      </c>
      <c r="F162" s="4">
        <v>4</v>
      </c>
    </row>
    <row r="163" spans="1:6" x14ac:dyDescent="0.3">
      <c r="A163" s="4">
        <v>162</v>
      </c>
      <c r="B163" s="6" t="s">
        <v>230</v>
      </c>
      <c r="C163" s="4">
        <v>1</v>
      </c>
      <c r="D163" s="4">
        <v>2</v>
      </c>
      <c r="E163" s="4">
        <v>3</v>
      </c>
      <c r="F163" s="4">
        <v>3</v>
      </c>
    </row>
    <row r="164" spans="1:6" x14ac:dyDescent="0.3">
      <c r="A164" s="4">
        <v>163</v>
      </c>
      <c r="B164" s="6" t="s">
        <v>231</v>
      </c>
      <c r="C164" s="4">
        <v>1</v>
      </c>
      <c r="D164" s="4">
        <v>2</v>
      </c>
      <c r="E164" s="4">
        <v>3</v>
      </c>
      <c r="F164" s="4">
        <v>3</v>
      </c>
    </row>
    <row r="165" spans="1:6" x14ac:dyDescent="0.3">
      <c r="B165" s="6"/>
    </row>
    <row r="166" spans="1:6" x14ac:dyDescent="0.3">
      <c r="B166" s="6"/>
    </row>
    <row r="167" spans="1:6" x14ac:dyDescent="0.3">
      <c r="B167" s="6"/>
    </row>
    <row r="168" spans="1:6" x14ac:dyDescent="0.3">
      <c r="B168" s="6"/>
    </row>
    <row r="169" spans="1:6" x14ac:dyDescent="0.3">
      <c r="B169" s="6"/>
    </row>
    <row r="170" spans="1:6" x14ac:dyDescent="0.3">
      <c r="B170" s="6"/>
    </row>
    <row r="171" spans="1:6" x14ac:dyDescent="0.3">
      <c r="B171" s="6"/>
    </row>
    <row r="172" spans="1:6" x14ac:dyDescent="0.3">
      <c r="B172" s="6"/>
    </row>
    <row r="173" spans="1:6" x14ac:dyDescent="0.3">
      <c r="B173" s="6"/>
    </row>
    <row r="174" spans="1:6" x14ac:dyDescent="0.3">
      <c r="B174" s="6"/>
    </row>
    <row r="175" spans="1:6" x14ac:dyDescent="0.3">
      <c r="B175" s="6"/>
    </row>
    <row r="176" spans="1:6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  <row r="192" spans="2:2" x14ac:dyDescent="0.3">
      <c r="B192" s="6"/>
    </row>
    <row r="193" spans="2:2" x14ac:dyDescent="0.3">
      <c r="B193" s="6"/>
    </row>
    <row r="194" spans="2:2" x14ac:dyDescent="0.3">
      <c r="B194" s="6"/>
    </row>
    <row r="195" spans="2:2" x14ac:dyDescent="0.3">
      <c r="B195" s="6"/>
    </row>
    <row r="196" spans="2:2" x14ac:dyDescent="0.3">
      <c r="B196" s="6"/>
    </row>
    <row r="197" spans="2:2" x14ac:dyDescent="0.3">
      <c r="B197" s="6"/>
    </row>
    <row r="198" spans="2:2" x14ac:dyDescent="0.3">
      <c r="B198" s="6"/>
    </row>
    <row r="199" spans="2:2" x14ac:dyDescent="0.3">
      <c r="B199" s="6"/>
    </row>
    <row r="200" spans="2:2" x14ac:dyDescent="0.3">
      <c r="B200" s="6"/>
    </row>
    <row r="201" spans="2:2" x14ac:dyDescent="0.3">
      <c r="B201" s="6"/>
    </row>
    <row r="202" spans="2:2" x14ac:dyDescent="0.3">
      <c r="B202" s="6"/>
    </row>
    <row r="203" spans="2:2" x14ac:dyDescent="0.3">
      <c r="B203" s="6"/>
    </row>
    <row r="204" spans="2:2" x14ac:dyDescent="0.3">
      <c r="B204" s="6"/>
    </row>
    <row r="205" spans="2:2" x14ac:dyDescent="0.3">
      <c r="B205" s="6"/>
    </row>
    <row r="206" spans="2:2" x14ac:dyDescent="0.3">
      <c r="B206" s="6"/>
    </row>
    <row r="207" spans="2:2" x14ac:dyDescent="0.3">
      <c r="B207" s="6"/>
    </row>
    <row r="208" spans="2:2" x14ac:dyDescent="0.3">
      <c r="B208" s="6"/>
    </row>
    <row r="209" spans="2:2" x14ac:dyDescent="0.3">
      <c r="B209" s="6"/>
    </row>
    <row r="210" spans="2:2" x14ac:dyDescent="0.3">
      <c r="B210" s="6"/>
    </row>
    <row r="211" spans="2:2" x14ac:dyDescent="0.3">
      <c r="B211" s="6"/>
    </row>
    <row r="212" spans="2:2" x14ac:dyDescent="0.3">
      <c r="B212" s="6"/>
    </row>
    <row r="213" spans="2:2" x14ac:dyDescent="0.3">
      <c r="B213" s="6"/>
    </row>
    <row r="214" spans="2:2" x14ac:dyDescent="0.3">
      <c r="B214" s="6"/>
    </row>
    <row r="215" spans="2:2" x14ac:dyDescent="0.3">
      <c r="B215" s="6"/>
    </row>
    <row r="216" spans="2:2" x14ac:dyDescent="0.3">
      <c r="B216" s="6"/>
    </row>
    <row r="217" spans="2:2" x14ac:dyDescent="0.3">
      <c r="B217" s="6"/>
    </row>
    <row r="218" spans="2:2" x14ac:dyDescent="0.3">
      <c r="B218" s="6"/>
    </row>
    <row r="219" spans="2:2" x14ac:dyDescent="0.3">
      <c r="B219" s="6"/>
    </row>
    <row r="220" spans="2:2" x14ac:dyDescent="0.3">
      <c r="B220" s="6"/>
    </row>
    <row r="221" spans="2:2" x14ac:dyDescent="0.3">
      <c r="B221" s="6"/>
    </row>
    <row r="222" spans="2:2" x14ac:dyDescent="0.3">
      <c r="B222" s="6"/>
    </row>
    <row r="223" spans="2:2" x14ac:dyDescent="0.3">
      <c r="B223" s="6"/>
    </row>
    <row r="224" spans="2:2" x14ac:dyDescent="0.3">
      <c r="B224" s="6"/>
    </row>
    <row r="225" spans="2:2" x14ac:dyDescent="0.3">
      <c r="B225" s="6"/>
    </row>
    <row r="226" spans="2:2" x14ac:dyDescent="0.3">
      <c r="B226" s="6"/>
    </row>
    <row r="227" spans="2:2" x14ac:dyDescent="0.3">
      <c r="B227" s="6"/>
    </row>
    <row r="228" spans="2:2" x14ac:dyDescent="0.3">
      <c r="B228" s="6"/>
    </row>
    <row r="229" spans="2:2" x14ac:dyDescent="0.3">
      <c r="B229" s="6"/>
    </row>
    <row r="230" spans="2:2" x14ac:dyDescent="0.3">
      <c r="B230" s="6"/>
    </row>
    <row r="231" spans="2:2" x14ac:dyDescent="0.3">
      <c r="B231" s="6"/>
    </row>
    <row r="232" spans="2:2" x14ac:dyDescent="0.3">
      <c r="B232" s="6"/>
    </row>
    <row r="233" spans="2:2" x14ac:dyDescent="0.3">
      <c r="B233" s="6"/>
    </row>
    <row r="234" spans="2:2" x14ac:dyDescent="0.3">
      <c r="B234" s="6"/>
    </row>
    <row r="235" spans="2:2" x14ac:dyDescent="0.3">
      <c r="B235" s="6"/>
    </row>
    <row r="236" spans="2:2" x14ac:dyDescent="0.3">
      <c r="B236" s="6"/>
    </row>
    <row r="237" spans="2:2" x14ac:dyDescent="0.3">
      <c r="B237" s="6"/>
    </row>
    <row r="238" spans="2:2" x14ac:dyDescent="0.3">
      <c r="B238" s="6"/>
    </row>
    <row r="239" spans="2:2" x14ac:dyDescent="0.3">
      <c r="B239" s="6"/>
    </row>
    <row r="240" spans="2:2" x14ac:dyDescent="0.3">
      <c r="B240" s="6"/>
    </row>
    <row r="241" spans="2:2" x14ac:dyDescent="0.3">
      <c r="B241" s="6"/>
    </row>
    <row r="242" spans="2:2" x14ac:dyDescent="0.3">
      <c r="B242" s="6"/>
    </row>
    <row r="243" spans="2:2" x14ac:dyDescent="0.3">
      <c r="B243" s="6"/>
    </row>
    <row r="244" spans="2:2" x14ac:dyDescent="0.3">
      <c r="B244" s="6"/>
    </row>
    <row r="245" spans="2:2" x14ac:dyDescent="0.3">
      <c r="B245" s="6"/>
    </row>
    <row r="246" spans="2:2" x14ac:dyDescent="0.3">
      <c r="B246" s="6"/>
    </row>
    <row r="247" spans="2:2" x14ac:dyDescent="0.3">
      <c r="B247" s="6"/>
    </row>
    <row r="248" spans="2:2" x14ac:dyDescent="0.3">
      <c r="B248" s="6"/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  <row r="256" spans="2:2" x14ac:dyDescent="0.3">
      <c r="B256" s="6"/>
    </row>
  </sheetData>
  <autoFilter ref="B1:E256" xr:uid="{D99A735A-6410-4C76-AEFB-DA2EE1C66AE5}"/>
  <dataValidations count="2">
    <dataValidation type="whole" allowBlank="1" showInputMessage="1" showErrorMessage="1" sqref="D69" xr:uid="{702492AF-CEE4-45A7-99F2-2CD57CDBB760}">
      <formula1>0</formula1>
      <formula2>7</formula2>
    </dataValidation>
    <dataValidation type="whole" allowBlank="1" showInputMessage="1" showErrorMessage="1" sqref="D53:D68 D70:D256 E2:E16379" xr:uid="{2C654961-A06E-4855-8AB2-5F289D6AFF77}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FA40-3CA8-4561-9D6F-11BAA1D4468A}">
  <dimension ref="A1:E256"/>
  <sheetViews>
    <sheetView zoomScale="70" zoomScaleNormal="70" workbookViewId="0">
      <selection activeCell="B166" sqref="B166:C169"/>
    </sheetView>
  </sheetViews>
  <sheetFormatPr defaultRowHeight="15.6" x14ac:dyDescent="0.3"/>
  <cols>
    <col min="1" max="1" width="4.33203125" style="4" bestFit="1" customWidth="1"/>
    <col min="2" max="2" width="44.21875" style="5" customWidth="1"/>
    <col min="3" max="3" width="21" style="4" customWidth="1"/>
    <col min="4" max="4" width="19.5546875" style="4" customWidth="1"/>
    <col min="5" max="5" width="17.77734375" style="4" customWidth="1"/>
  </cols>
  <sheetData>
    <row r="1" spans="1:5" x14ac:dyDescent="0.3">
      <c r="A1" s="4" t="s">
        <v>15</v>
      </c>
      <c r="B1" s="4" t="s">
        <v>6</v>
      </c>
      <c r="C1" s="4" t="s">
        <v>7</v>
      </c>
      <c r="D1" s="4" t="s">
        <v>233</v>
      </c>
      <c r="E1" s="4" t="s">
        <v>10</v>
      </c>
    </row>
    <row r="2" spans="1:5" s="9" customFormat="1" x14ac:dyDescent="0.3">
      <c r="A2" s="7">
        <v>1</v>
      </c>
      <c r="B2" s="19" t="s">
        <v>70</v>
      </c>
      <c r="C2" s="7">
        <v>4</v>
      </c>
      <c r="D2" s="7">
        <v>4</v>
      </c>
      <c r="E2" s="7" t="s">
        <v>11</v>
      </c>
    </row>
    <row r="3" spans="1:5" s="15" customFormat="1" x14ac:dyDescent="0.3">
      <c r="A3" s="13">
        <v>2</v>
      </c>
      <c r="B3" s="20" t="s">
        <v>71</v>
      </c>
      <c r="C3" s="13">
        <v>2</v>
      </c>
      <c r="D3" s="13">
        <v>3</v>
      </c>
      <c r="E3" s="13" t="s">
        <v>13</v>
      </c>
    </row>
    <row r="4" spans="1:5" s="15" customFormat="1" x14ac:dyDescent="0.3">
      <c r="A4" s="13">
        <v>3</v>
      </c>
      <c r="B4" s="20" t="s">
        <v>72</v>
      </c>
      <c r="C4" s="13">
        <v>1</v>
      </c>
      <c r="D4" s="13">
        <v>3</v>
      </c>
      <c r="E4" s="13" t="s">
        <v>13</v>
      </c>
    </row>
    <row r="5" spans="1:5" s="12" customFormat="1" x14ac:dyDescent="0.3">
      <c r="A5" s="10">
        <v>4</v>
      </c>
      <c r="B5" s="21" t="s">
        <v>73</v>
      </c>
      <c r="C5" s="10">
        <v>1</v>
      </c>
      <c r="D5" s="10">
        <v>2</v>
      </c>
      <c r="E5" s="10" t="s">
        <v>12</v>
      </c>
    </row>
    <row r="6" spans="1:5" s="15" customFormat="1" x14ac:dyDescent="0.3">
      <c r="A6" s="13">
        <v>5</v>
      </c>
      <c r="B6" s="20" t="s">
        <v>74</v>
      </c>
      <c r="C6" s="13">
        <v>1</v>
      </c>
      <c r="D6" s="13">
        <v>3</v>
      </c>
      <c r="E6" s="13" t="s">
        <v>13</v>
      </c>
    </row>
    <row r="7" spans="1:5" s="9" customFormat="1" x14ac:dyDescent="0.3">
      <c r="A7" s="7">
        <v>6</v>
      </c>
      <c r="B7" s="19" t="s">
        <v>75</v>
      </c>
      <c r="C7" s="7">
        <v>3</v>
      </c>
      <c r="D7" s="7">
        <v>3</v>
      </c>
      <c r="E7" s="7" t="s">
        <v>11</v>
      </c>
    </row>
    <row r="8" spans="1:5" s="15" customFormat="1" x14ac:dyDescent="0.3">
      <c r="A8" s="13">
        <v>7</v>
      </c>
      <c r="B8" s="20" t="s">
        <v>76</v>
      </c>
      <c r="C8" s="13">
        <v>1</v>
      </c>
      <c r="D8" s="13">
        <v>3</v>
      </c>
      <c r="E8" s="13" t="s">
        <v>13</v>
      </c>
    </row>
    <row r="9" spans="1:5" s="9" customFormat="1" x14ac:dyDescent="0.3">
      <c r="A9" s="7">
        <v>8</v>
      </c>
      <c r="B9" s="19" t="s">
        <v>77</v>
      </c>
      <c r="C9" s="7">
        <v>4</v>
      </c>
      <c r="D9" s="7">
        <v>4</v>
      </c>
      <c r="E9" s="7" t="s">
        <v>11</v>
      </c>
    </row>
    <row r="10" spans="1:5" s="9" customFormat="1" x14ac:dyDescent="0.3">
      <c r="A10" s="7">
        <v>9</v>
      </c>
      <c r="B10" s="19" t="s">
        <v>78</v>
      </c>
      <c r="C10" s="7">
        <v>4</v>
      </c>
      <c r="D10" s="7">
        <v>4</v>
      </c>
      <c r="E10" s="7" t="s">
        <v>11</v>
      </c>
    </row>
    <row r="11" spans="1:5" s="9" customFormat="1" x14ac:dyDescent="0.3">
      <c r="A11" s="7">
        <v>10</v>
      </c>
      <c r="B11" s="19" t="s">
        <v>79</v>
      </c>
      <c r="C11" s="7">
        <v>4</v>
      </c>
      <c r="D11" s="7">
        <v>3</v>
      </c>
      <c r="E11" s="7" t="s">
        <v>11</v>
      </c>
    </row>
    <row r="12" spans="1:5" s="18" customFormat="1" x14ac:dyDescent="0.3">
      <c r="A12" s="16">
        <v>11</v>
      </c>
      <c r="B12" s="22" t="s">
        <v>80</v>
      </c>
      <c r="C12" s="16">
        <v>3</v>
      </c>
      <c r="D12" s="16">
        <v>2</v>
      </c>
      <c r="E12" s="16" t="s">
        <v>14</v>
      </c>
    </row>
    <row r="13" spans="1:5" s="18" customFormat="1" x14ac:dyDescent="0.3">
      <c r="A13" s="16">
        <v>12</v>
      </c>
      <c r="B13" s="22" t="s">
        <v>81</v>
      </c>
      <c r="C13" s="16">
        <v>3</v>
      </c>
      <c r="D13" s="16">
        <v>2</v>
      </c>
      <c r="E13" s="16" t="s">
        <v>14</v>
      </c>
    </row>
    <row r="14" spans="1:5" s="9" customFormat="1" x14ac:dyDescent="0.3">
      <c r="A14" s="7">
        <v>13</v>
      </c>
      <c r="B14" s="19" t="s">
        <v>82</v>
      </c>
      <c r="C14" s="7">
        <v>3</v>
      </c>
      <c r="D14" s="7">
        <v>3</v>
      </c>
      <c r="E14" s="7" t="s">
        <v>11</v>
      </c>
    </row>
    <row r="15" spans="1:5" s="9" customFormat="1" x14ac:dyDescent="0.3">
      <c r="A15" s="7">
        <v>14</v>
      </c>
      <c r="B15" s="19" t="s">
        <v>83</v>
      </c>
      <c r="C15" s="7">
        <v>4</v>
      </c>
      <c r="D15" s="7">
        <v>3</v>
      </c>
      <c r="E15" s="7" t="s">
        <v>11</v>
      </c>
    </row>
    <row r="16" spans="1:5" s="9" customFormat="1" x14ac:dyDescent="0.3">
      <c r="A16" s="7">
        <v>15</v>
      </c>
      <c r="B16" s="19" t="s">
        <v>84</v>
      </c>
      <c r="C16" s="7">
        <v>4</v>
      </c>
      <c r="D16" s="7">
        <v>4</v>
      </c>
      <c r="E16" s="7" t="s">
        <v>11</v>
      </c>
    </row>
    <row r="17" spans="1:5" s="9" customFormat="1" x14ac:dyDescent="0.3">
      <c r="A17" s="7">
        <v>16</v>
      </c>
      <c r="B17" s="19" t="s">
        <v>85</v>
      </c>
      <c r="C17" s="7">
        <v>4</v>
      </c>
      <c r="D17" s="7">
        <v>3</v>
      </c>
      <c r="E17" s="7" t="s">
        <v>11</v>
      </c>
    </row>
    <row r="18" spans="1:5" s="12" customFormat="1" x14ac:dyDescent="0.3">
      <c r="A18" s="10">
        <v>17</v>
      </c>
      <c r="B18" s="21" t="s">
        <v>86</v>
      </c>
      <c r="C18" s="10">
        <v>1</v>
      </c>
      <c r="D18" s="10">
        <v>2</v>
      </c>
      <c r="E18" s="10" t="s">
        <v>12</v>
      </c>
    </row>
    <row r="19" spans="1:5" s="12" customFormat="1" x14ac:dyDescent="0.3">
      <c r="A19" s="10">
        <v>18</v>
      </c>
      <c r="B19" s="21" t="s">
        <v>87</v>
      </c>
      <c r="C19" s="10">
        <v>1</v>
      </c>
      <c r="D19" s="10">
        <v>2</v>
      </c>
      <c r="E19" s="10" t="s">
        <v>12</v>
      </c>
    </row>
    <row r="20" spans="1:5" s="12" customFormat="1" x14ac:dyDescent="0.3">
      <c r="A20" s="10">
        <v>19</v>
      </c>
      <c r="B20" s="21" t="s">
        <v>88</v>
      </c>
      <c r="C20" s="10">
        <v>1</v>
      </c>
      <c r="D20" s="10">
        <v>2</v>
      </c>
      <c r="E20" s="10" t="s">
        <v>12</v>
      </c>
    </row>
    <row r="21" spans="1:5" s="12" customFormat="1" x14ac:dyDescent="0.3">
      <c r="A21" s="10">
        <v>20</v>
      </c>
      <c r="B21" s="21" t="s">
        <v>89</v>
      </c>
      <c r="C21" s="10">
        <v>1</v>
      </c>
      <c r="D21" s="10">
        <v>2</v>
      </c>
      <c r="E21" s="10" t="s">
        <v>12</v>
      </c>
    </row>
    <row r="22" spans="1:5" s="15" customFormat="1" x14ac:dyDescent="0.3">
      <c r="A22" s="13">
        <v>21</v>
      </c>
      <c r="B22" s="20" t="s">
        <v>90</v>
      </c>
      <c r="C22" s="13">
        <v>1</v>
      </c>
      <c r="D22" s="13">
        <v>3</v>
      </c>
      <c r="E22" s="13" t="s">
        <v>13</v>
      </c>
    </row>
    <row r="23" spans="1:5" s="12" customFormat="1" x14ac:dyDescent="0.3">
      <c r="A23" s="10">
        <v>22</v>
      </c>
      <c r="B23" s="21" t="s">
        <v>91</v>
      </c>
      <c r="C23" s="10">
        <v>1</v>
      </c>
      <c r="D23" s="10">
        <v>1</v>
      </c>
      <c r="E23" s="10" t="s">
        <v>12</v>
      </c>
    </row>
    <row r="24" spans="1:5" s="12" customFormat="1" x14ac:dyDescent="0.3">
      <c r="A24" s="10">
        <v>23</v>
      </c>
      <c r="B24" s="21" t="s">
        <v>92</v>
      </c>
      <c r="C24" s="10">
        <v>2</v>
      </c>
      <c r="D24" s="10">
        <v>2</v>
      </c>
      <c r="E24" s="10" t="s">
        <v>12</v>
      </c>
    </row>
    <row r="25" spans="1:5" s="12" customFormat="1" x14ac:dyDescent="0.3">
      <c r="A25" s="10">
        <v>24</v>
      </c>
      <c r="B25" s="21" t="s">
        <v>93</v>
      </c>
      <c r="C25" s="10">
        <v>1</v>
      </c>
      <c r="D25" s="10">
        <v>2</v>
      </c>
      <c r="E25" s="10" t="s">
        <v>12</v>
      </c>
    </row>
    <row r="26" spans="1:5" s="15" customFormat="1" x14ac:dyDescent="0.3">
      <c r="A26" s="13">
        <v>25</v>
      </c>
      <c r="B26" s="20" t="s">
        <v>94</v>
      </c>
      <c r="C26" s="13">
        <v>1</v>
      </c>
      <c r="D26" s="13">
        <v>3</v>
      </c>
      <c r="E26" s="13" t="s">
        <v>13</v>
      </c>
    </row>
    <row r="27" spans="1:5" s="12" customFormat="1" x14ac:dyDescent="0.3">
      <c r="A27" s="10">
        <v>26</v>
      </c>
      <c r="B27" s="21" t="s">
        <v>95</v>
      </c>
      <c r="C27" s="10">
        <v>2</v>
      </c>
      <c r="D27" s="10">
        <v>2</v>
      </c>
      <c r="E27" s="10" t="s">
        <v>12</v>
      </c>
    </row>
    <row r="28" spans="1:5" s="12" customFormat="1" x14ac:dyDescent="0.3">
      <c r="A28" s="10">
        <v>27</v>
      </c>
      <c r="B28" s="21" t="s">
        <v>96</v>
      </c>
      <c r="C28" s="10">
        <v>1</v>
      </c>
      <c r="D28" s="10">
        <v>2</v>
      </c>
      <c r="E28" s="10" t="s">
        <v>12</v>
      </c>
    </row>
    <row r="29" spans="1:5" s="12" customFormat="1" x14ac:dyDescent="0.3">
      <c r="A29" s="10">
        <v>28</v>
      </c>
      <c r="B29" s="21" t="s">
        <v>97</v>
      </c>
      <c r="C29" s="10">
        <v>1</v>
      </c>
      <c r="D29" s="10">
        <v>2</v>
      </c>
      <c r="E29" s="10" t="s">
        <v>12</v>
      </c>
    </row>
    <row r="30" spans="1:5" s="12" customFormat="1" x14ac:dyDescent="0.3">
      <c r="A30" s="10">
        <v>29</v>
      </c>
      <c r="B30" s="21" t="s">
        <v>98</v>
      </c>
      <c r="C30" s="10">
        <v>1</v>
      </c>
      <c r="D30" s="10">
        <v>2</v>
      </c>
      <c r="E30" s="10" t="s">
        <v>12</v>
      </c>
    </row>
    <row r="31" spans="1:5" s="15" customFormat="1" x14ac:dyDescent="0.3">
      <c r="A31" s="13">
        <v>30</v>
      </c>
      <c r="B31" s="20" t="s">
        <v>99</v>
      </c>
      <c r="C31" s="13">
        <v>1</v>
      </c>
      <c r="D31" s="13">
        <v>3</v>
      </c>
      <c r="E31" s="13" t="s">
        <v>13</v>
      </c>
    </row>
    <row r="32" spans="1:5" s="12" customFormat="1" x14ac:dyDescent="0.3">
      <c r="A32" s="10">
        <v>31</v>
      </c>
      <c r="B32" s="21" t="s">
        <v>100</v>
      </c>
      <c r="C32" s="10">
        <v>1</v>
      </c>
      <c r="D32" s="10">
        <v>2</v>
      </c>
      <c r="E32" s="10" t="s">
        <v>12</v>
      </c>
    </row>
    <row r="33" spans="1:5" s="12" customFormat="1" x14ac:dyDescent="0.3">
      <c r="A33" s="10">
        <v>32</v>
      </c>
      <c r="B33" s="21" t="s">
        <v>101</v>
      </c>
      <c r="C33" s="10">
        <v>1</v>
      </c>
      <c r="D33" s="10">
        <v>2</v>
      </c>
      <c r="E33" s="10" t="s">
        <v>12</v>
      </c>
    </row>
    <row r="34" spans="1:5" s="12" customFormat="1" x14ac:dyDescent="0.3">
      <c r="A34" s="10">
        <v>33</v>
      </c>
      <c r="B34" s="21" t="s">
        <v>102</v>
      </c>
      <c r="C34" s="10">
        <v>1</v>
      </c>
      <c r="D34" s="10">
        <v>2</v>
      </c>
      <c r="E34" s="10" t="s">
        <v>12</v>
      </c>
    </row>
    <row r="35" spans="1:5" s="12" customFormat="1" x14ac:dyDescent="0.3">
      <c r="A35" s="10">
        <v>34</v>
      </c>
      <c r="B35" s="21" t="s">
        <v>103</v>
      </c>
      <c r="C35" s="10">
        <v>1</v>
      </c>
      <c r="D35" s="10">
        <v>2</v>
      </c>
      <c r="E35" s="10" t="s">
        <v>12</v>
      </c>
    </row>
    <row r="36" spans="1:5" s="12" customFormat="1" x14ac:dyDescent="0.3">
      <c r="A36" s="10">
        <v>35</v>
      </c>
      <c r="B36" s="21" t="s">
        <v>104</v>
      </c>
      <c r="C36" s="10">
        <v>1</v>
      </c>
      <c r="D36" s="10">
        <v>2</v>
      </c>
      <c r="E36" s="10" t="s">
        <v>12</v>
      </c>
    </row>
    <row r="37" spans="1:5" s="12" customFormat="1" x14ac:dyDescent="0.3">
      <c r="A37" s="10">
        <v>36</v>
      </c>
      <c r="B37" s="21" t="s">
        <v>105</v>
      </c>
      <c r="C37" s="10">
        <v>1</v>
      </c>
      <c r="D37" s="10">
        <v>2</v>
      </c>
      <c r="E37" s="10" t="s">
        <v>12</v>
      </c>
    </row>
    <row r="38" spans="1:5" s="12" customFormat="1" x14ac:dyDescent="0.3">
      <c r="A38" s="10">
        <v>37</v>
      </c>
      <c r="B38" s="21" t="s">
        <v>106</v>
      </c>
      <c r="C38" s="10">
        <v>1</v>
      </c>
      <c r="D38" s="10">
        <v>2</v>
      </c>
      <c r="E38" s="10" t="s">
        <v>12</v>
      </c>
    </row>
    <row r="39" spans="1:5" s="12" customFormat="1" x14ac:dyDescent="0.3">
      <c r="A39" s="10">
        <v>38</v>
      </c>
      <c r="B39" s="21" t="s">
        <v>107</v>
      </c>
      <c r="C39" s="10">
        <v>1</v>
      </c>
      <c r="D39" s="10">
        <v>2</v>
      </c>
      <c r="E39" s="10" t="s">
        <v>12</v>
      </c>
    </row>
    <row r="40" spans="1:5" s="12" customFormat="1" x14ac:dyDescent="0.3">
      <c r="A40" s="10">
        <v>39</v>
      </c>
      <c r="B40" s="21" t="s">
        <v>108</v>
      </c>
      <c r="C40" s="10">
        <v>1</v>
      </c>
      <c r="D40" s="10">
        <v>2</v>
      </c>
      <c r="E40" s="10" t="s">
        <v>12</v>
      </c>
    </row>
    <row r="41" spans="1:5" s="12" customFormat="1" x14ac:dyDescent="0.3">
      <c r="A41" s="10">
        <v>40</v>
      </c>
      <c r="B41" s="21" t="s">
        <v>109</v>
      </c>
      <c r="C41" s="10">
        <v>1</v>
      </c>
      <c r="D41" s="10">
        <v>2</v>
      </c>
      <c r="E41" s="10" t="s">
        <v>12</v>
      </c>
    </row>
    <row r="42" spans="1:5" s="15" customFormat="1" x14ac:dyDescent="0.3">
      <c r="A42" s="13">
        <v>41</v>
      </c>
      <c r="B42" s="20" t="s">
        <v>110</v>
      </c>
      <c r="C42" s="13">
        <v>2</v>
      </c>
      <c r="D42" s="13">
        <v>3</v>
      </c>
      <c r="E42" s="13" t="s">
        <v>13</v>
      </c>
    </row>
    <row r="43" spans="1:5" s="9" customFormat="1" x14ac:dyDescent="0.3">
      <c r="A43" s="7">
        <v>42</v>
      </c>
      <c r="B43" s="19" t="s">
        <v>111</v>
      </c>
      <c r="C43" s="7">
        <v>4</v>
      </c>
      <c r="D43" s="7">
        <v>4</v>
      </c>
      <c r="E43" s="7" t="s">
        <v>11</v>
      </c>
    </row>
    <row r="44" spans="1:5" s="9" customFormat="1" x14ac:dyDescent="0.3">
      <c r="A44" s="7">
        <v>43</v>
      </c>
      <c r="B44" s="19" t="s">
        <v>112</v>
      </c>
      <c r="C44" s="7">
        <v>4</v>
      </c>
      <c r="D44" s="7">
        <v>4</v>
      </c>
      <c r="E44" s="7" t="s">
        <v>11</v>
      </c>
    </row>
    <row r="45" spans="1:5" s="9" customFormat="1" x14ac:dyDescent="0.3">
      <c r="A45" s="7">
        <v>44</v>
      </c>
      <c r="B45" s="19" t="s">
        <v>113</v>
      </c>
      <c r="C45" s="7">
        <v>3</v>
      </c>
      <c r="D45" s="7">
        <v>3</v>
      </c>
      <c r="E45" s="7" t="s">
        <v>11</v>
      </c>
    </row>
    <row r="46" spans="1:5" s="15" customFormat="1" x14ac:dyDescent="0.3">
      <c r="A46" s="13">
        <v>45</v>
      </c>
      <c r="B46" s="20" t="s">
        <v>114</v>
      </c>
      <c r="C46" s="13">
        <v>2</v>
      </c>
      <c r="D46" s="13">
        <v>3</v>
      </c>
      <c r="E46" s="13" t="s">
        <v>13</v>
      </c>
    </row>
    <row r="47" spans="1:5" s="9" customFormat="1" x14ac:dyDescent="0.3">
      <c r="A47" s="7">
        <v>46</v>
      </c>
      <c r="B47" s="19" t="s">
        <v>115</v>
      </c>
      <c r="C47" s="7">
        <v>4</v>
      </c>
      <c r="D47" s="7">
        <v>3</v>
      </c>
      <c r="E47" s="7" t="s">
        <v>11</v>
      </c>
    </row>
    <row r="48" spans="1:5" s="15" customFormat="1" x14ac:dyDescent="0.3">
      <c r="A48" s="13">
        <v>47</v>
      </c>
      <c r="B48" s="20" t="s">
        <v>116</v>
      </c>
      <c r="C48" s="13">
        <v>1</v>
      </c>
      <c r="D48" s="13">
        <v>3</v>
      </c>
      <c r="E48" s="13" t="s">
        <v>13</v>
      </c>
    </row>
    <row r="49" spans="1:5" s="9" customFormat="1" x14ac:dyDescent="0.3">
      <c r="A49" s="7">
        <v>48</v>
      </c>
      <c r="B49" s="19" t="s">
        <v>117</v>
      </c>
      <c r="C49" s="7">
        <v>4</v>
      </c>
      <c r="D49" s="7">
        <v>3</v>
      </c>
      <c r="E49" s="7" t="s">
        <v>11</v>
      </c>
    </row>
    <row r="50" spans="1:5" s="15" customFormat="1" x14ac:dyDescent="0.3">
      <c r="A50" s="13">
        <v>49</v>
      </c>
      <c r="B50" s="20" t="s">
        <v>118</v>
      </c>
      <c r="C50" s="13">
        <v>2</v>
      </c>
      <c r="D50" s="13">
        <v>3</v>
      </c>
      <c r="E50" s="13" t="s">
        <v>13</v>
      </c>
    </row>
    <row r="51" spans="1:5" s="9" customFormat="1" x14ac:dyDescent="0.3">
      <c r="A51" s="7">
        <v>50</v>
      </c>
      <c r="B51" s="19" t="s">
        <v>119</v>
      </c>
      <c r="C51" s="7">
        <v>4</v>
      </c>
      <c r="D51" s="7">
        <v>3</v>
      </c>
      <c r="E51" s="7" t="s">
        <v>11</v>
      </c>
    </row>
    <row r="52" spans="1:5" s="18" customFormat="1" x14ac:dyDescent="0.3">
      <c r="A52" s="16">
        <v>51</v>
      </c>
      <c r="B52" s="22" t="s">
        <v>120</v>
      </c>
      <c r="C52" s="16">
        <v>3</v>
      </c>
      <c r="D52" s="16">
        <v>2</v>
      </c>
      <c r="E52" s="16" t="s">
        <v>14</v>
      </c>
    </row>
    <row r="53" spans="1:5" s="9" customFormat="1" x14ac:dyDescent="0.3">
      <c r="A53" s="7">
        <v>52</v>
      </c>
      <c r="B53" s="19" t="s">
        <v>121</v>
      </c>
      <c r="C53" s="7">
        <v>3</v>
      </c>
      <c r="D53" s="7">
        <v>3</v>
      </c>
      <c r="E53" s="7" t="s">
        <v>11</v>
      </c>
    </row>
    <row r="54" spans="1:5" s="9" customFormat="1" x14ac:dyDescent="0.3">
      <c r="A54" s="7">
        <v>53</v>
      </c>
      <c r="B54" s="19" t="s">
        <v>122</v>
      </c>
      <c r="C54" s="7">
        <v>4</v>
      </c>
      <c r="D54" s="7">
        <v>4</v>
      </c>
      <c r="E54" s="7" t="s">
        <v>11</v>
      </c>
    </row>
    <row r="55" spans="1:5" s="9" customFormat="1" x14ac:dyDescent="0.3">
      <c r="A55" s="7">
        <v>54</v>
      </c>
      <c r="B55" s="19" t="s">
        <v>123</v>
      </c>
      <c r="C55" s="7">
        <v>4</v>
      </c>
      <c r="D55" s="7">
        <v>3</v>
      </c>
      <c r="E55" s="7" t="s">
        <v>11</v>
      </c>
    </row>
    <row r="56" spans="1:5" s="9" customFormat="1" x14ac:dyDescent="0.3">
      <c r="A56" s="7">
        <v>55</v>
      </c>
      <c r="B56" s="19" t="s">
        <v>124</v>
      </c>
      <c r="C56" s="7">
        <v>4</v>
      </c>
      <c r="D56" s="7">
        <v>4</v>
      </c>
      <c r="E56" s="7" t="s">
        <v>11</v>
      </c>
    </row>
    <row r="57" spans="1:5" s="9" customFormat="1" x14ac:dyDescent="0.3">
      <c r="A57" s="7">
        <v>56</v>
      </c>
      <c r="B57" s="19" t="s">
        <v>125</v>
      </c>
      <c r="C57" s="7">
        <v>3</v>
      </c>
      <c r="D57" s="7">
        <v>3</v>
      </c>
      <c r="E57" s="7" t="s">
        <v>11</v>
      </c>
    </row>
    <row r="58" spans="1:5" s="9" customFormat="1" x14ac:dyDescent="0.3">
      <c r="A58" s="7">
        <v>57</v>
      </c>
      <c r="B58" s="19" t="s">
        <v>126</v>
      </c>
      <c r="C58" s="7">
        <v>4</v>
      </c>
      <c r="D58" s="7">
        <v>4</v>
      </c>
      <c r="E58" s="7" t="s">
        <v>11</v>
      </c>
    </row>
    <row r="59" spans="1:5" s="12" customFormat="1" x14ac:dyDescent="0.3">
      <c r="A59" s="10">
        <v>58</v>
      </c>
      <c r="B59" s="21" t="s">
        <v>127</v>
      </c>
      <c r="C59" s="10">
        <v>1</v>
      </c>
      <c r="D59" s="10">
        <v>2</v>
      </c>
      <c r="E59" s="10" t="s">
        <v>12</v>
      </c>
    </row>
    <row r="60" spans="1:5" s="9" customFormat="1" x14ac:dyDescent="0.3">
      <c r="A60" s="7">
        <v>59</v>
      </c>
      <c r="B60" s="19" t="s">
        <v>128</v>
      </c>
      <c r="C60" s="7">
        <v>3</v>
      </c>
      <c r="D60" s="7">
        <v>3</v>
      </c>
      <c r="E60" s="7" t="s">
        <v>11</v>
      </c>
    </row>
    <row r="61" spans="1:5" s="15" customFormat="1" x14ac:dyDescent="0.3">
      <c r="A61" s="13">
        <v>60</v>
      </c>
      <c r="B61" s="20" t="s">
        <v>129</v>
      </c>
      <c r="C61" s="13">
        <v>1</v>
      </c>
      <c r="D61" s="13">
        <v>3</v>
      </c>
      <c r="E61" s="13" t="s">
        <v>13</v>
      </c>
    </row>
    <row r="62" spans="1:5" s="9" customFormat="1" x14ac:dyDescent="0.3">
      <c r="A62" s="7">
        <v>61</v>
      </c>
      <c r="B62" s="19" t="s">
        <v>130</v>
      </c>
      <c r="C62" s="7">
        <v>3</v>
      </c>
      <c r="D62" s="7">
        <v>3</v>
      </c>
      <c r="E62" s="7" t="s">
        <v>11</v>
      </c>
    </row>
    <row r="63" spans="1:5" s="9" customFormat="1" x14ac:dyDescent="0.3">
      <c r="A63" s="7">
        <v>62</v>
      </c>
      <c r="B63" s="19" t="s">
        <v>131</v>
      </c>
      <c r="C63" s="7">
        <v>3</v>
      </c>
      <c r="D63" s="7">
        <v>3</v>
      </c>
      <c r="E63" s="7" t="s">
        <v>11</v>
      </c>
    </row>
    <row r="64" spans="1:5" s="9" customFormat="1" x14ac:dyDescent="0.3">
      <c r="A64" s="7">
        <v>63</v>
      </c>
      <c r="B64" s="19" t="s">
        <v>132</v>
      </c>
      <c r="C64" s="7">
        <v>3</v>
      </c>
      <c r="D64" s="7">
        <v>3</v>
      </c>
      <c r="E64" s="7" t="s">
        <v>11</v>
      </c>
    </row>
    <row r="65" spans="1:5" s="9" customFormat="1" x14ac:dyDescent="0.3">
      <c r="A65" s="7">
        <v>64</v>
      </c>
      <c r="B65" s="19" t="s">
        <v>133</v>
      </c>
      <c r="C65" s="7">
        <v>3</v>
      </c>
      <c r="D65" s="7">
        <v>3</v>
      </c>
      <c r="E65" s="7" t="s">
        <v>11</v>
      </c>
    </row>
    <row r="66" spans="1:5" s="9" customFormat="1" x14ac:dyDescent="0.3">
      <c r="A66" s="7">
        <v>65</v>
      </c>
      <c r="B66" s="19" t="s">
        <v>134</v>
      </c>
      <c r="C66" s="7">
        <v>3</v>
      </c>
      <c r="D66" s="7">
        <v>3</v>
      </c>
      <c r="E66" s="7" t="s">
        <v>11</v>
      </c>
    </row>
    <row r="67" spans="1:5" s="9" customFormat="1" x14ac:dyDescent="0.3">
      <c r="A67" s="7">
        <v>66</v>
      </c>
      <c r="B67" s="19" t="s">
        <v>135</v>
      </c>
      <c r="C67" s="7">
        <v>3</v>
      </c>
      <c r="D67" s="7">
        <v>3</v>
      </c>
      <c r="E67" s="7" t="s">
        <v>11</v>
      </c>
    </row>
    <row r="68" spans="1:5" s="18" customFormat="1" x14ac:dyDescent="0.3">
      <c r="A68" s="16">
        <v>67</v>
      </c>
      <c r="B68" s="22" t="s">
        <v>136</v>
      </c>
      <c r="C68" s="16">
        <v>3</v>
      </c>
      <c r="D68" s="16">
        <v>2</v>
      </c>
      <c r="E68" s="16" t="s">
        <v>14</v>
      </c>
    </row>
    <row r="69" spans="1:5" s="18" customFormat="1" x14ac:dyDescent="0.3">
      <c r="A69" s="16">
        <v>68</v>
      </c>
      <c r="B69" s="22" t="s">
        <v>137</v>
      </c>
      <c r="C69" s="16">
        <v>3</v>
      </c>
      <c r="D69" s="16">
        <v>2</v>
      </c>
      <c r="E69" s="16" t="s">
        <v>14</v>
      </c>
    </row>
    <row r="70" spans="1:5" s="18" customFormat="1" x14ac:dyDescent="0.3">
      <c r="A70" s="16">
        <v>69</v>
      </c>
      <c r="B70" s="22" t="s">
        <v>138</v>
      </c>
      <c r="C70" s="16">
        <v>3</v>
      </c>
      <c r="D70" s="16">
        <v>2</v>
      </c>
      <c r="E70" s="16" t="s">
        <v>14</v>
      </c>
    </row>
    <row r="71" spans="1:5" s="9" customFormat="1" x14ac:dyDescent="0.3">
      <c r="A71" s="7">
        <v>70</v>
      </c>
      <c r="B71" s="19" t="s">
        <v>139</v>
      </c>
      <c r="C71" s="7">
        <v>3</v>
      </c>
      <c r="D71" s="7">
        <v>3</v>
      </c>
      <c r="E71" s="7" t="s">
        <v>11</v>
      </c>
    </row>
    <row r="72" spans="1:5" s="18" customFormat="1" x14ac:dyDescent="0.3">
      <c r="A72" s="16">
        <v>71</v>
      </c>
      <c r="B72" s="22" t="s">
        <v>140</v>
      </c>
      <c r="C72" s="16">
        <v>3</v>
      </c>
      <c r="D72" s="16">
        <v>2</v>
      </c>
      <c r="E72" s="16" t="s">
        <v>14</v>
      </c>
    </row>
    <row r="73" spans="1:5" s="18" customFormat="1" x14ac:dyDescent="0.3">
      <c r="A73" s="16">
        <v>72</v>
      </c>
      <c r="B73" s="22" t="s">
        <v>141</v>
      </c>
      <c r="C73" s="16">
        <v>3</v>
      </c>
      <c r="D73" s="16">
        <v>2</v>
      </c>
      <c r="E73" s="16" t="s">
        <v>14</v>
      </c>
    </row>
    <row r="74" spans="1:5" s="18" customFormat="1" x14ac:dyDescent="0.3">
      <c r="A74" s="16">
        <v>73</v>
      </c>
      <c r="B74" s="22" t="s">
        <v>142</v>
      </c>
      <c r="C74" s="16">
        <v>3</v>
      </c>
      <c r="D74" s="16">
        <v>2</v>
      </c>
      <c r="E74" s="16" t="s">
        <v>14</v>
      </c>
    </row>
    <row r="75" spans="1:5" s="18" customFormat="1" x14ac:dyDescent="0.3">
      <c r="A75" s="16">
        <v>74</v>
      </c>
      <c r="B75" s="22" t="s">
        <v>143</v>
      </c>
      <c r="C75" s="16">
        <v>3</v>
      </c>
      <c r="D75" s="16">
        <v>2</v>
      </c>
      <c r="E75" s="16" t="s">
        <v>14</v>
      </c>
    </row>
    <row r="76" spans="1:5" s="18" customFormat="1" x14ac:dyDescent="0.3">
      <c r="A76" s="16">
        <v>75</v>
      </c>
      <c r="B76" s="22" t="s">
        <v>144</v>
      </c>
      <c r="C76" s="16">
        <v>3</v>
      </c>
      <c r="D76" s="16">
        <v>2</v>
      </c>
      <c r="E76" s="16" t="s">
        <v>14</v>
      </c>
    </row>
    <row r="77" spans="1:5" s="9" customFormat="1" x14ac:dyDescent="0.3">
      <c r="A77" s="7">
        <v>76</v>
      </c>
      <c r="B77" s="19" t="s">
        <v>145</v>
      </c>
      <c r="C77" s="7">
        <v>3</v>
      </c>
      <c r="D77" s="7">
        <v>4</v>
      </c>
      <c r="E77" s="7" t="s">
        <v>11</v>
      </c>
    </row>
    <row r="78" spans="1:5" s="9" customFormat="1" x14ac:dyDescent="0.3">
      <c r="A78" s="7">
        <v>77</v>
      </c>
      <c r="B78" s="19" t="s">
        <v>146</v>
      </c>
      <c r="C78" s="7">
        <v>3</v>
      </c>
      <c r="D78" s="7">
        <v>3</v>
      </c>
      <c r="E78" s="7" t="s">
        <v>11</v>
      </c>
    </row>
    <row r="79" spans="1:5" s="18" customFormat="1" x14ac:dyDescent="0.3">
      <c r="A79" s="16">
        <v>78</v>
      </c>
      <c r="B79" s="22" t="s">
        <v>147</v>
      </c>
      <c r="C79" s="16">
        <v>3</v>
      </c>
      <c r="D79" s="16">
        <v>2</v>
      </c>
      <c r="E79" s="16" t="s">
        <v>14</v>
      </c>
    </row>
    <row r="80" spans="1:5" s="18" customFormat="1" x14ac:dyDescent="0.3">
      <c r="A80" s="16">
        <v>79</v>
      </c>
      <c r="B80" s="22" t="s">
        <v>148</v>
      </c>
      <c r="C80" s="16">
        <v>3</v>
      </c>
      <c r="D80" s="16">
        <v>2</v>
      </c>
      <c r="E80" s="16" t="s">
        <v>14</v>
      </c>
    </row>
    <row r="81" spans="1:5" s="9" customFormat="1" x14ac:dyDescent="0.3">
      <c r="A81" s="7">
        <v>80</v>
      </c>
      <c r="B81" s="19" t="s">
        <v>149</v>
      </c>
      <c r="C81" s="7">
        <v>3</v>
      </c>
      <c r="D81" s="7">
        <v>3</v>
      </c>
      <c r="E81" s="7" t="s">
        <v>11</v>
      </c>
    </row>
    <row r="82" spans="1:5" s="18" customFormat="1" x14ac:dyDescent="0.3">
      <c r="A82" s="16">
        <v>81</v>
      </c>
      <c r="B82" s="22" t="s">
        <v>150</v>
      </c>
      <c r="C82" s="16">
        <v>3</v>
      </c>
      <c r="D82" s="16">
        <v>2</v>
      </c>
      <c r="E82" s="16" t="s">
        <v>14</v>
      </c>
    </row>
    <row r="83" spans="1:5" s="9" customFormat="1" x14ac:dyDescent="0.3">
      <c r="A83" s="7">
        <v>82</v>
      </c>
      <c r="B83" s="19" t="s">
        <v>151</v>
      </c>
      <c r="C83" s="7">
        <v>4</v>
      </c>
      <c r="D83" s="7">
        <v>3</v>
      </c>
      <c r="E83" s="7" t="s">
        <v>11</v>
      </c>
    </row>
    <row r="84" spans="1:5" s="9" customFormat="1" x14ac:dyDescent="0.3">
      <c r="A84" s="7">
        <v>83</v>
      </c>
      <c r="B84" s="19" t="s">
        <v>152</v>
      </c>
      <c r="C84" s="7">
        <v>3</v>
      </c>
      <c r="D84" s="7">
        <v>3</v>
      </c>
      <c r="E84" s="7" t="s">
        <v>11</v>
      </c>
    </row>
    <row r="85" spans="1:5" s="9" customFormat="1" x14ac:dyDescent="0.3">
      <c r="A85" s="7">
        <v>84</v>
      </c>
      <c r="B85" s="19" t="s">
        <v>153</v>
      </c>
      <c r="C85" s="7">
        <v>3</v>
      </c>
      <c r="D85" s="7">
        <v>3</v>
      </c>
      <c r="E85" s="7" t="s">
        <v>11</v>
      </c>
    </row>
    <row r="86" spans="1:5" s="9" customFormat="1" x14ac:dyDescent="0.3">
      <c r="A86" s="7">
        <v>85</v>
      </c>
      <c r="B86" s="19" t="s">
        <v>154</v>
      </c>
      <c r="C86" s="7">
        <v>3</v>
      </c>
      <c r="D86" s="7">
        <v>3</v>
      </c>
      <c r="E86" s="7" t="s">
        <v>11</v>
      </c>
    </row>
    <row r="87" spans="1:5" s="12" customFormat="1" x14ac:dyDescent="0.3">
      <c r="A87" s="10">
        <v>86</v>
      </c>
      <c r="B87" s="21" t="s">
        <v>155</v>
      </c>
      <c r="C87" s="10">
        <v>1</v>
      </c>
      <c r="D87" s="10">
        <v>2</v>
      </c>
      <c r="E87" s="10" t="s">
        <v>12</v>
      </c>
    </row>
    <row r="88" spans="1:5" s="18" customFormat="1" x14ac:dyDescent="0.3">
      <c r="A88" s="16">
        <v>87</v>
      </c>
      <c r="B88" s="22" t="s">
        <v>156</v>
      </c>
      <c r="C88" s="16">
        <v>3</v>
      </c>
      <c r="D88" s="16">
        <v>2</v>
      </c>
      <c r="E88" s="16" t="s">
        <v>14</v>
      </c>
    </row>
    <row r="89" spans="1:5" s="9" customFormat="1" x14ac:dyDescent="0.3">
      <c r="A89" s="7">
        <v>88</v>
      </c>
      <c r="B89" s="19" t="s">
        <v>157</v>
      </c>
      <c r="C89" s="7">
        <v>3</v>
      </c>
      <c r="D89" s="7">
        <v>3</v>
      </c>
      <c r="E89" s="7" t="s">
        <v>11</v>
      </c>
    </row>
    <row r="90" spans="1:5" s="18" customFormat="1" x14ac:dyDescent="0.3">
      <c r="A90" s="16">
        <v>89</v>
      </c>
      <c r="B90" s="22" t="s">
        <v>158</v>
      </c>
      <c r="C90" s="16">
        <v>3</v>
      </c>
      <c r="D90" s="16">
        <v>1</v>
      </c>
      <c r="E90" s="16" t="s">
        <v>14</v>
      </c>
    </row>
    <row r="91" spans="1:5" s="18" customFormat="1" x14ac:dyDescent="0.3">
      <c r="A91" s="16">
        <v>90</v>
      </c>
      <c r="B91" s="22" t="s">
        <v>159</v>
      </c>
      <c r="C91" s="16">
        <v>3</v>
      </c>
      <c r="D91" s="16">
        <v>2</v>
      </c>
      <c r="E91" s="16" t="s">
        <v>14</v>
      </c>
    </row>
    <row r="92" spans="1:5" s="9" customFormat="1" x14ac:dyDescent="0.3">
      <c r="A92" s="7">
        <v>91</v>
      </c>
      <c r="B92" s="19" t="s">
        <v>160</v>
      </c>
      <c r="C92" s="7">
        <v>3</v>
      </c>
      <c r="D92" s="7">
        <v>3</v>
      </c>
      <c r="E92" s="7" t="s">
        <v>11</v>
      </c>
    </row>
    <row r="93" spans="1:5" s="9" customFormat="1" x14ac:dyDescent="0.3">
      <c r="A93" s="7">
        <v>92</v>
      </c>
      <c r="B93" s="19" t="s">
        <v>161</v>
      </c>
      <c r="C93" s="7">
        <v>3</v>
      </c>
      <c r="D93" s="7">
        <v>3</v>
      </c>
      <c r="E93" s="7" t="s">
        <v>11</v>
      </c>
    </row>
    <row r="94" spans="1:5" s="18" customFormat="1" x14ac:dyDescent="0.3">
      <c r="A94" s="16">
        <v>93</v>
      </c>
      <c r="B94" s="22" t="s">
        <v>162</v>
      </c>
      <c r="C94" s="16">
        <v>3</v>
      </c>
      <c r="D94" s="16">
        <v>1</v>
      </c>
      <c r="E94" s="16" t="s">
        <v>14</v>
      </c>
    </row>
    <row r="95" spans="1:5" s="18" customFormat="1" x14ac:dyDescent="0.3">
      <c r="A95" s="16">
        <v>94</v>
      </c>
      <c r="B95" s="22" t="s">
        <v>163</v>
      </c>
      <c r="C95" s="16">
        <v>3</v>
      </c>
      <c r="D95" s="16">
        <v>2</v>
      </c>
      <c r="E95" s="16" t="s">
        <v>14</v>
      </c>
    </row>
    <row r="96" spans="1:5" s="9" customFormat="1" x14ac:dyDescent="0.3">
      <c r="A96" s="7">
        <v>95</v>
      </c>
      <c r="B96" s="19" t="s">
        <v>164</v>
      </c>
      <c r="C96" s="7">
        <v>3</v>
      </c>
      <c r="D96" s="7">
        <v>3</v>
      </c>
      <c r="E96" s="7" t="s">
        <v>11</v>
      </c>
    </row>
    <row r="97" spans="1:5" s="9" customFormat="1" x14ac:dyDescent="0.3">
      <c r="A97" s="7">
        <v>96</v>
      </c>
      <c r="B97" s="19" t="s">
        <v>165</v>
      </c>
      <c r="C97" s="7">
        <v>3</v>
      </c>
      <c r="D97" s="7">
        <v>3</v>
      </c>
      <c r="E97" s="7" t="s">
        <v>11</v>
      </c>
    </row>
    <row r="98" spans="1:5" s="12" customFormat="1" x14ac:dyDescent="0.3">
      <c r="A98" s="10">
        <v>97</v>
      </c>
      <c r="B98" s="21" t="s">
        <v>166</v>
      </c>
      <c r="C98" s="10">
        <v>1</v>
      </c>
      <c r="D98" s="10">
        <v>1</v>
      </c>
      <c r="E98" s="10" t="s">
        <v>12</v>
      </c>
    </row>
    <row r="99" spans="1:5" s="12" customFormat="1" x14ac:dyDescent="0.3">
      <c r="A99" s="10">
        <v>98</v>
      </c>
      <c r="B99" s="21" t="s">
        <v>167</v>
      </c>
      <c r="C99" s="10">
        <v>1</v>
      </c>
      <c r="D99" s="10">
        <v>1</v>
      </c>
      <c r="E99" s="10" t="s">
        <v>12</v>
      </c>
    </row>
    <row r="100" spans="1:5" s="12" customFormat="1" x14ac:dyDescent="0.3">
      <c r="A100" s="10">
        <v>99</v>
      </c>
      <c r="B100" s="21" t="s">
        <v>168</v>
      </c>
      <c r="C100" s="10">
        <v>1</v>
      </c>
      <c r="D100" s="10">
        <v>1</v>
      </c>
      <c r="E100" s="10" t="s">
        <v>12</v>
      </c>
    </row>
    <row r="101" spans="1:5" s="9" customFormat="1" x14ac:dyDescent="0.3">
      <c r="A101" s="7">
        <v>100</v>
      </c>
      <c r="B101" s="19" t="s">
        <v>169</v>
      </c>
      <c r="C101" s="7">
        <v>3</v>
      </c>
      <c r="D101" s="7">
        <v>3</v>
      </c>
      <c r="E101" s="7" t="s">
        <v>11</v>
      </c>
    </row>
    <row r="102" spans="1:5" s="12" customFormat="1" x14ac:dyDescent="0.3">
      <c r="A102" s="10">
        <v>101</v>
      </c>
      <c r="B102" s="21" t="s">
        <v>170</v>
      </c>
      <c r="C102" s="10">
        <v>1</v>
      </c>
      <c r="D102" s="10">
        <v>2</v>
      </c>
      <c r="E102" s="10" t="s">
        <v>12</v>
      </c>
    </row>
    <row r="103" spans="1:5" s="15" customFormat="1" x14ac:dyDescent="0.3">
      <c r="A103" s="13">
        <v>102</v>
      </c>
      <c r="B103" s="20" t="s">
        <v>171</v>
      </c>
      <c r="C103" s="13">
        <v>1</v>
      </c>
      <c r="D103" s="13">
        <v>3</v>
      </c>
      <c r="E103" s="13" t="s">
        <v>13</v>
      </c>
    </row>
    <row r="104" spans="1:5" s="12" customFormat="1" x14ac:dyDescent="0.3">
      <c r="A104" s="10">
        <v>103</v>
      </c>
      <c r="B104" s="21" t="s">
        <v>172</v>
      </c>
      <c r="C104" s="10">
        <v>1</v>
      </c>
      <c r="D104" s="10">
        <v>2</v>
      </c>
      <c r="E104" s="10" t="s">
        <v>12</v>
      </c>
    </row>
    <row r="105" spans="1:5" s="9" customFormat="1" x14ac:dyDescent="0.3">
      <c r="A105" s="7">
        <v>104</v>
      </c>
      <c r="B105" s="19" t="s">
        <v>173</v>
      </c>
      <c r="C105" s="7">
        <v>3</v>
      </c>
      <c r="D105" s="7">
        <v>3</v>
      </c>
      <c r="E105" s="7" t="s">
        <v>11</v>
      </c>
    </row>
    <row r="106" spans="1:5" s="9" customFormat="1" x14ac:dyDescent="0.3">
      <c r="A106" s="7">
        <v>105</v>
      </c>
      <c r="B106" s="19" t="s">
        <v>174</v>
      </c>
      <c r="C106" s="7">
        <v>3</v>
      </c>
      <c r="D106" s="7">
        <v>3</v>
      </c>
      <c r="E106" s="7" t="s">
        <v>11</v>
      </c>
    </row>
    <row r="107" spans="1:5" s="12" customFormat="1" x14ac:dyDescent="0.3">
      <c r="A107" s="10">
        <v>106</v>
      </c>
      <c r="B107" s="21" t="s">
        <v>175</v>
      </c>
      <c r="C107" s="10">
        <v>1</v>
      </c>
      <c r="D107" s="10">
        <v>2</v>
      </c>
      <c r="E107" s="10" t="s">
        <v>12</v>
      </c>
    </row>
    <row r="108" spans="1:5" s="9" customFormat="1" x14ac:dyDescent="0.3">
      <c r="A108" s="7">
        <v>107</v>
      </c>
      <c r="B108" s="19" t="s">
        <v>176</v>
      </c>
      <c r="C108" s="7">
        <v>3</v>
      </c>
      <c r="D108" s="7">
        <v>3</v>
      </c>
      <c r="E108" s="7" t="s">
        <v>11</v>
      </c>
    </row>
    <row r="109" spans="1:5" s="9" customFormat="1" x14ac:dyDescent="0.3">
      <c r="A109" s="7">
        <v>108</v>
      </c>
      <c r="B109" s="19" t="s">
        <v>177</v>
      </c>
      <c r="C109" s="7">
        <v>3</v>
      </c>
      <c r="D109" s="7">
        <v>3</v>
      </c>
      <c r="E109" s="7" t="s">
        <v>11</v>
      </c>
    </row>
    <row r="110" spans="1:5" s="9" customFormat="1" x14ac:dyDescent="0.3">
      <c r="A110" s="7">
        <v>109</v>
      </c>
      <c r="B110" s="19" t="s">
        <v>178</v>
      </c>
      <c r="C110" s="7">
        <v>3</v>
      </c>
      <c r="D110" s="7">
        <v>3</v>
      </c>
      <c r="E110" s="7" t="s">
        <v>11</v>
      </c>
    </row>
    <row r="111" spans="1:5" s="9" customFormat="1" x14ac:dyDescent="0.3">
      <c r="A111" s="7">
        <v>110</v>
      </c>
      <c r="B111" s="19" t="s">
        <v>179</v>
      </c>
      <c r="C111" s="7">
        <v>3</v>
      </c>
      <c r="D111" s="7">
        <v>3</v>
      </c>
      <c r="E111" s="7" t="s">
        <v>11</v>
      </c>
    </row>
    <row r="112" spans="1:5" s="15" customFormat="1" x14ac:dyDescent="0.3">
      <c r="A112" s="13">
        <v>111</v>
      </c>
      <c r="B112" s="20" t="s">
        <v>180</v>
      </c>
      <c r="C112" s="13">
        <v>1</v>
      </c>
      <c r="D112" s="13">
        <v>3</v>
      </c>
      <c r="E112" s="13" t="s">
        <v>13</v>
      </c>
    </row>
    <row r="113" spans="1:5" s="18" customFormat="1" x14ac:dyDescent="0.3">
      <c r="A113" s="16">
        <v>112</v>
      </c>
      <c r="B113" s="22" t="s">
        <v>232</v>
      </c>
      <c r="C113" s="16">
        <v>4</v>
      </c>
      <c r="D113" s="16">
        <v>2</v>
      </c>
      <c r="E113" s="16" t="s">
        <v>14</v>
      </c>
    </row>
    <row r="114" spans="1:5" s="9" customFormat="1" x14ac:dyDescent="0.3">
      <c r="A114" s="7">
        <v>113</v>
      </c>
      <c r="B114" s="19" t="s">
        <v>181</v>
      </c>
      <c r="C114" s="7">
        <v>4</v>
      </c>
      <c r="D114" s="7">
        <v>3</v>
      </c>
      <c r="E114" s="7" t="s">
        <v>11</v>
      </c>
    </row>
    <row r="115" spans="1:5" s="9" customFormat="1" x14ac:dyDescent="0.3">
      <c r="A115" s="7">
        <v>114</v>
      </c>
      <c r="B115" s="19" t="s">
        <v>182</v>
      </c>
      <c r="C115" s="7">
        <v>4</v>
      </c>
      <c r="D115" s="7">
        <v>3</v>
      </c>
      <c r="E115" s="7" t="s">
        <v>11</v>
      </c>
    </row>
    <row r="116" spans="1:5" s="9" customFormat="1" x14ac:dyDescent="0.3">
      <c r="A116" s="7">
        <v>115</v>
      </c>
      <c r="B116" s="19" t="s">
        <v>183</v>
      </c>
      <c r="C116" s="7">
        <v>3</v>
      </c>
      <c r="D116" s="7">
        <v>3</v>
      </c>
      <c r="E116" s="7" t="s">
        <v>11</v>
      </c>
    </row>
    <row r="117" spans="1:5" s="18" customFormat="1" x14ac:dyDescent="0.3">
      <c r="A117" s="16">
        <v>116</v>
      </c>
      <c r="B117" s="22" t="s">
        <v>184</v>
      </c>
      <c r="C117" s="16">
        <v>3</v>
      </c>
      <c r="D117" s="16">
        <v>2</v>
      </c>
      <c r="E117" s="16" t="s">
        <v>14</v>
      </c>
    </row>
    <row r="118" spans="1:5" s="9" customFormat="1" x14ac:dyDescent="0.3">
      <c r="A118" s="7">
        <v>117</v>
      </c>
      <c r="B118" s="19" t="s">
        <v>185</v>
      </c>
      <c r="C118" s="7">
        <v>3</v>
      </c>
      <c r="D118" s="7">
        <v>3</v>
      </c>
      <c r="E118" s="7" t="s">
        <v>11</v>
      </c>
    </row>
    <row r="119" spans="1:5" s="9" customFormat="1" x14ac:dyDescent="0.3">
      <c r="A119" s="7">
        <v>118</v>
      </c>
      <c r="B119" s="19" t="s">
        <v>186</v>
      </c>
      <c r="C119" s="7">
        <v>3</v>
      </c>
      <c r="D119" s="7">
        <v>3</v>
      </c>
      <c r="E119" s="7" t="s">
        <v>11</v>
      </c>
    </row>
    <row r="120" spans="1:5" s="9" customFormat="1" x14ac:dyDescent="0.3">
      <c r="A120" s="7">
        <v>119</v>
      </c>
      <c r="B120" s="19" t="s">
        <v>187</v>
      </c>
      <c r="C120" s="7">
        <v>3</v>
      </c>
      <c r="D120" s="7">
        <v>3</v>
      </c>
      <c r="E120" s="7" t="s">
        <v>11</v>
      </c>
    </row>
    <row r="121" spans="1:5" s="9" customFormat="1" x14ac:dyDescent="0.3">
      <c r="A121" s="7">
        <v>120</v>
      </c>
      <c r="B121" s="19" t="s">
        <v>188</v>
      </c>
      <c r="C121" s="7">
        <v>3</v>
      </c>
      <c r="D121" s="7">
        <v>3</v>
      </c>
      <c r="E121" s="7" t="s">
        <v>11</v>
      </c>
    </row>
    <row r="122" spans="1:5" s="9" customFormat="1" x14ac:dyDescent="0.3">
      <c r="A122" s="7">
        <v>121</v>
      </c>
      <c r="B122" s="19" t="s">
        <v>189</v>
      </c>
      <c r="C122" s="7">
        <v>3</v>
      </c>
      <c r="D122" s="7">
        <v>3</v>
      </c>
      <c r="E122" s="7" t="s">
        <v>11</v>
      </c>
    </row>
    <row r="123" spans="1:5" s="9" customFormat="1" x14ac:dyDescent="0.3">
      <c r="A123" s="7">
        <v>122</v>
      </c>
      <c r="B123" s="19" t="s">
        <v>190</v>
      </c>
      <c r="C123" s="7">
        <v>3</v>
      </c>
      <c r="D123" s="7">
        <v>4</v>
      </c>
      <c r="E123" s="7" t="s">
        <v>11</v>
      </c>
    </row>
    <row r="124" spans="1:5" s="9" customFormat="1" x14ac:dyDescent="0.3">
      <c r="A124" s="7">
        <v>123</v>
      </c>
      <c r="B124" s="19" t="s">
        <v>191</v>
      </c>
      <c r="C124" s="7">
        <v>3</v>
      </c>
      <c r="D124" s="7">
        <v>3</v>
      </c>
      <c r="E124" s="7" t="s">
        <v>11</v>
      </c>
    </row>
    <row r="125" spans="1:5" s="9" customFormat="1" x14ac:dyDescent="0.3">
      <c r="A125" s="7">
        <v>124</v>
      </c>
      <c r="B125" s="19" t="s">
        <v>192</v>
      </c>
      <c r="C125" s="7">
        <v>3</v>
      </c>
      <c r="D125" s="7">
        <v>3</v>
      </c>
      <c r="E125" s="7" t="s">
        <v>11</v>
      </c>
    </row>
    <row r="126" spans="1:5" s="18" customFormat="1" x14ac:dyDescent="0.3">
      <c r="A126" s="16">
        <v>125</v>
      </c>
      <c r="B126" s="22" t="s">
        <v>193</v>
      </c>
      <c r="C126" s="16">
        <v>3</v>
      </c>
      <c r="D126" s="16">
        <v>2</v>
      </c>
      <c r="E126" s="16" t="s">
        <v>14</v>
      </c>
    </row>
    <row r="127" spans="1:5" s="18" customFormat="1" x14ac:dyDescent="0.3">
      <c r="A127" s="16">
        <v>126</v>
      </c>
      <c r="B127" s="22" t="s">
        <v>194</v>
      </c>
      <c r="C127" s="16">
        <v>3</v>
      </c>
      <c r="D127" s="16">
        <v>2</v>
      </c>
      <c r="E127" s="16" t="s">
        <v>14</v>
      </c>
    </row>
    <row r="128" spans="1:5" s="12" customFormat="1" x14ac:dyDescent="0.3">
      <c r="A128" s="10">
        <v>127</v>
      </c>
      <c r="B128" s="21" t="s">
        <v>195</v>
      </c>
      <c r="C128" s="10">
        <v>1</v>
      </c>
      <c r="D128" s="10">
        <v>1</v>
      </c>
      <c r="E128" s="10" t="s">
        <v>12</v>
      </c>
    </row>
    <row r="129" spans="1:5" s="12" customFormat="1" x14ac:dyDescent="0.3">
      <c r="A129" s="10">
        <v>128</v>
      </c>
      <c r="B129" s="21" t="s">
        <v>196</v>
      </c>
      <c r="C129" s="10">
        <v>1</v>
      </c>
      <c r="D129" s="10">
        <v>1</v>
      </c>
      <c r="E129" s="10" t="s">
        <v>12</v>
      </c>
    </row>
    <row r="130" spans="1:5" s="12" customFormat="1" x14ac:dyDescent="0.3">
      <c r="A130" s="10">
        <v>129</v>
      </c>
      <c r="B130" s="21" t="s">
        <v>197</v>
      </c>
      <c r="C130" s="10">
        <v>1</v>
      </c>
      <c r="D130" s="10">
        <v>2</v>
      </c>
      <c r="E130" s="10" t="s">
        <v>12</v>
      </c>
    </row>
    <row r="131" spans="1:5" s="12" customFormat="1" x14ac:dyDescent="0.3">
      <c r="A131" s="10">
        <v>130</v>
      </c>
      <c r="B131" s="21" t="s">
        <v>198</v>
      </c>
      <c r="C131" s="10">
        <v>1</v>
      </c>
      <c r="D131" s="10">
        <v>1</v>
      </c>
      <c r="E131" s="10" t="s">
        <v>12</v>
      </c>
    </row>
    <row r="132" spans="1:5" s="12" customFormat="1" x14ac:dyDescent="0.3">
      <c r="A132" s="10">
        <v>131</v>
      </c>
      <c r="B132" s="21" t="s">
        <v>199</v>
      </c>
      <c r="C132" s="10">
        <v>1</v>
      </c>
      <c r="D132" s="10">
        <v>2</v>
      </c>
      <c r="E132" s="10" t="s">
        <v>12</v>
      </c>
    </row>
    <row r="133" spans="1:5" s="12" customFormat="1" x14ac:dyDescent="0.3">
      <c r="A133" s="10">
        <v>132</v>
      </c>
      <c r="B133" s="21" t="s">
        <v>200</v>
      </c>
      <c r="C133" s="10">
        <v>1</v>
      </c>
      <c r="D133" s="10">
        <v>2</v>
      </c>
      <c r="E133" s="10" t="s">
        <v>12</v>
      </c>
    </row>
    <row r="134" spans="1:5" s="12" customFormat="1" x14ac:dyDescent="0.3">
      <c r="A134" s="10">
        <v>133</v>
      </c>
      <c r="B134" s="21" t="s">
        <v>201</v>
      </c>
      <c r="C134" s="10">
        <v>1</v>
      </c>
      <c r="D134" s="10">
        <v>2</v>
      </c>
      <c r="E134" s="10" t="s">
        <v>12</v>
      </c>
    </row>
    <row r="135" spans="1:5" s="12" customFormat="1" x14ac:dyDescent="0.3">
      <c r="A135" s="10">
        <v>134</v>
      </c>
      <c r="B135" s="21" t="s">
        <v>202</v>
      </c>
      <c r="C135" s="10">
        <v>1</v>
      </c>
      <c r="D135" s="10">
        <v>2</v>
      </c>
      <c r="E135" s="10" t="s">
        <v>12</v>
      </c>
    </row>
    <row r="136" spans="1:5" s="12" customFormat="1" x14ac:dyDescent="0.3">
      <c r="A136" s="10">
        <v>135</v>
      </c>
      <c r="B136" s="21" t="s">
        <v>203</v>
      </c>
      <c r="C136" s="10">
        <v>1</v>
      </c>
      <c r="D136" s="10">
        <v>1</v>
      </c>
      <c r="E136" s="10" t="s">
        <v>12</v>
      </c>
    </row>
    <row r="137" spans="1:5" s="12" customFormat="1" x14ac:dyDescent="0.3">
      <c r="A137" s="10">
        <v>136</v>
      </c>
      <c r="B137" s="21" t="s">
        <v>204</v>
      </c>
      <c r="C137" s="10">
        <v>1</v>
      </c>
      <c r="D137" s="10">
        <v>1</v>
      </c>
      <c r="E137" s="10" t="s">
        <v>12</v>
      </c>
    </row>
    <row r="138" spans="1:5" s="15" customFormat="1" x14ac:dyDescent="0.3">
      <c r="A138" s="13">
        <v>137</v>
      </c>
      <c r="B138" s="20" t="s">
        <v>205</v>
      </c>
      <c r="C138" s="13">
        <v>1</v>
      </c>
      <c r="D138" s="13">
        <v>3</v>
      </c>
      <c r="E138" s="13" t="s">
        <v>13</v>
      </c>
    </row>
    <row r="139" spans="1:5" s="18" customFormat="1" x14ac:dyDescent="0.3">
      <c r="A139" s="16">
        <v>138</v>
      </c>
      <c r="B139" s="22" t="s">
        <v>206</v>
      </c>
      <c r="C139" s="16">
        <v>3</v>
      </c>
      <c r="D139" s="16">
        <v>2</v>
      </c>
      <c r="E139" s="16" t="s">
        <v>14</v>
      </c>
    </row>
    <row r="140" spans="1:5" s="9" customFormat="1" x14ac:dyDescent="0.3">
      <c r="A140" s="7">
        <v>139</v>
      </c>
      <c r="B140" s="19" t="s">
        <v>207</v>
      </c>
      <c r="C140" s="7">
        <v>3</v>
      </c>
      <c r="D140" s="7">
        <v>3</v>
      </c>
      <c r="E140" s="7" t="s">
        <v>11</v>
      </c>
    </row>
    <row r="141" spans="1:5" s="9" customFormat="1" x14ac:dyDescent="0.3">
      <c r="A141" s="7">
        <v>140</v>
      </c>
      <c r="B141" s="19" t="s">
        <v>208</v>
      </c>
      <c r="C141" s="7">
        <v>3</v>
      </c>
      <c r="D141" s="7">
        <v>3</v>
      </c>
      <c r="E141" s="7" t="s">
        <v>11</v>
      </c>
    </row>
    <row r="142" spans="1:5" s="18" customFormat="1" x14ac:dyDescent="0.3">
      <c r="A142" s="16">
        <v>141</v>
      </c>
      <c r="B142" s="22" t="s">
        <v>209</v>
      </c>
      <c r="C142" s="16">
        <v>3</v>
      </c>
      <c r="D142" s="16">
        <v>2</v>
      </c>
      <c r="E142" s="16" t="s">
        <v>14</v>
      </c>
    </row>
    <row r="143" spans="1:5" s="12" customFormat="1" x14ac:dyDescent="0.3">
      <c r="A143" s="10">
        <v>142</v>
      </c>
      <c r="B143" s="21" t="s">
        <v>210</v>
      </c>
      <c r="C143" s="10">
        <v>1</v>
      </c>
      <c r="D143" s="10">
        <v>2</v>
      </c>
      <c r="E143" s="10" t="s">
        <v>12</v>
      </c>
    </row>
    <row r="144" spans="1:5" s="9" customFormat="1" x14ac:dyDescent="0.3">
      <c r="A144" s="7">
        <v>143</v>
      </c>
      <c r="B144" s="19" t="s">
        <v>211</v>
      </c>
      <c r="C144" s="7">
        <v>3</v>
      </c>
      <c r="D144" s="7">
        <v>3</v>
      </c>
      <c r="E144" s="7" t="s">
        <v>11</v>
      </c>
    </row>
    <row r="145" spans="1:5" s="18" customFormat="1" x14ac:dyDescent="0.3">
      <c r="A145" s="16">
        <v>144</v>
      </c>
      <c r="B145" s="22" t="s">
        <v>212</v>
      </c>
      <c r="C145" s="16">
        <v>3</v>
      </c>
      <c r="D145" s="16">
        <v>2</v>
      </c>
      <c r="E145" s="16" t="s">
        <v>14</v>
      </c>
    </row>
    <row r="146" spans="1:5" s="9" customFormat="1" x14ac:dyDescent="0.3">
      <c r="A146" s="7">
        <v>145</v>
      </c>
      <c r="B146" s="19" t="s">
        <v>213</v>
      </c>
      <c r="C146" s="7">
        <v>3</v>
      </c>
      <c r="D146" s="7">
        <v>3</v>
      </c>
      <c r="E146" s="7" t="s">
        <v>11</v>
      </c>
    </row>
    <row r="147" spans="1:5" s="9" customFormat="1" x14ac:dyDescent="0.3">
      <c r="A147" s="7">
        <v>146</v>
      </c>
      <c r="B147" s="19" t="s">
        <v>214</v>
      </c>
      <c r="C147" s="7">
        <v>3</v>
      </c>
      <c r="D147" s="7">
        <v>3</v>
      </c>
      <c r="E147" s="7" t="s">
        <v>11</v>
      </c>
    </row>
    <row r="148" spans="1:5" s="9" customFormat="1" x14ac:dyDescent="0.3">
      <c r="A148" s="7">
        <v>147</v>
      </c>
      <c r="B148" s="19" t="s">
        <v>215</v>
      </c>
      <c r="C148" s="7">
        <v>3</v>
      </c>
      <c r="D148" s="7">
        <v>3</v>
      </c>
      <c r="E148" s="7" t="s">
        <v>11</v>
      </c>
    </row>
    <row r="149" spans="1:5" s="9" customFormat="1" x14ac:dyDescent="0.3">
      <c r="A149" s="7">
        <v>148</v>
      </c>
      <c r="B149" s="19" t="s">
        <v>216</v>
      </c>
      <c r="C149" s="7">
        <v>3</v>
      </c>
      <c r="D149" s="7">
        <v>3</v>
      </c>
      <c r="E149" s="7" t="s">
        <v>11</v>
      </c>
    </row>
    <row r="150" spans="1:5" s="18" customFormat="1" x14ac:dyDescent="0.3">
      <c r="A150" s="16">
        <v>149</v>
      </c>
      <c r="B150" s="22" t="s">
        <v>217</v>
      </c>
      <c r="C150" s="16">
        <v>3</v>
      </c>
      <c r="D150" s="16">
        <v>2</v>
      </c>
      <c r="E150" s="16" t="s">
        <v>14</v>
      </c>
    </row>
    <row r="151" spans="1:5" s="18" customFormat="1" x14ac:dyDescent="0.3">
      <c r="A151" s="16">
        <v>150</v>
      </c>
      <c r="B151" s="22" t="s">
        <v>218</v>
      </c>
      <c r="C151" s="16">
        <v>3</v>
      </c>
      <c r="D151" s="16">
        <v>2</v>
      </c>
      <c r="E151" s="16" t="s">
        <v>14</v>
      </c>
    </row>
    <row r="152" spans="1:5" s="18" customFormat="1" x14ac:dyDescent="0.3">
      <c r="A152" s="16">
        <v>151</v>
      </c>
      <c r="B152" s="22" t="s">
        <v>219</v>
      </c>
      <c r="C152" s="16">
        <v>3</v>
      </c>
      <c r="D152" s="16">
        <v>2</v>
      </c>
      <c r="E152" s="16" t="s">
        <v>14</v>
      </c>
    </row>
    <row r="153" spans="1:5" s="18" customFormat="1" x14ac:dyDescent="0.3">
      <c r="A153" s="16">
        <v>152</v>
      </c>
      <c r="B153" s="22" t="s">
        <v>220</v>
      </c>
      <c r="C153" s="16">
        <v>3</v>
      </c>
      <c r="D153" s="16">
        <v>2</v>
      </c>
      <c r="E153" s="16" t="s">
        <v>14</v>
      </c>
    </row>
    <row r="154" spans="1:5" s="12" customFormat="1" x14ac:dyDescent="0.3">
      <c r="A154" s="10">
        <v>153</v>
      </c>
      <c r="B154" s="21" t="s">
        <v>221</v>
      </c>
      <c r="C154" s="10">
        <v>1</v>
      </c>
      <c r="D154" s="10">
        <v>2</v>
      </c>
      <c r="E154" s="10" t="s">
        <v>12</v>
      </c>
    </row>
    <row r="155" spans="1:5" s="15" customFormat="1" x14ac:dyDescent="0.3">
      <c r="A155" s="13">
        <v>154</v>
      </c>
      <c r="B155" s="20" t="s">
        <v>222</v>
      </c>
      <c r="C155" s="13">
        <v>1</v>
      </c>
      <c r="D155" s="13">
        <v>3</v>
      </c>
      <c r="E155" s="13" t="s">
        <v>13</v>
      </c>
    </row>
    <row r="156" spans="1:5" s="18" customFormat="1" x14ac:dyDescent="0.3">
      <c r="A156" s="16">
        <v>155</v>
      </c>
      <c r="B156" s="22" t="s">
        <v>223</v>
      </c>
      <c r="C156" s="16">
        <v>3</v>
      </c>
      <c r="D156" s="16">
        <v>2</v>
      </c>
      <c r="E156" s="16" t="s">
        <v>14</v>
      </c>
    </row>
    <row r="157" spans="1:5" s="12" customFormat="1" x14ac:dyDescent="0.3">
      <c r="A157" s="10">
        <v>156</v>
      </c>
      <c r="B157" s="21" t="s">
        <v>224</v>
      </c>
      <c r="C157" s="10">
        <v>1</v>
      </c>
      <c r="D157" s="10">
        <v>2</v>
      </c>
      <c r="E157" s="10" t="s">
        <v>12</v>
      </c>
    </row>
    <row r="158" spans="1:5" s="12" customFormat="1" x14ac:dyDescent="0.3">
      <c r="A158" s="10">
        <v>157</v>
      </c>
      <c r="B158" s="21" t="s">
        <v>225</v>
      </c>
      <c r="C158" s="10">
        <v>1</v>
      </c>
      <c r="D158" s="10">
        <v>1</v>
      </c>
      <c r="E158" s="10" t="s">
        <v>12</v>
      </c>
    </row>
    <row r="159" spans="1:5" s="9" customFormat="1" x14ac:dyDescent="0.3">
      <c r="A159" s="7">
        <v>158</v>
      </c>
      <c r="B159" s="19" t="s">
        <v>226</v>
      </c>
      <c r="C159" s="7">
        <v>3</v>
      </c>
      <c r="D159" s="7">
        <v>3</v>
      </c>
      <c r="E159" s="7" t="s">
        <v>11</v>
      </c>
    </row>
    <row r="160" spans="1:5" s="9" customFormat="1" x14ac:dyDescent="0.3">
      <c r="A160" s="7">
        <v>159</v>
      </c>
      <c r="B160" s="19" t="s">
        <v>227</v>
      </c>
      <c r="C160" s="7">
        <v>3</v>
      </c>
      <c r="D160" s="7">
        <v>4</v>
      </c>
      <c r="E160" s="7" t="s">
        <v>11</v>
      </c>
    </row>
    <row r="161" spans="1:5" s="9" customFormat="1" x14ac:dyDescent="0.3">
      <c r="A161" s="7">
        <v>160</v>
      </c>
      <c r="B161" s="19" t="s">
        <v>228</v>
      </c>
      <c r="C161" s="7">
        <v>3</v>
      </c>
      <c r="D161" s="7">
        <v>4</v>
      </c>
      <c r="E161" s="7" t="s">
        <v>11</v>
      </c>
    </row>
    <row r="162" spans="1:5" s="9" customFormat="1" x14ac:dyDescent="0.3">
      <c r="A162" s="7">
        <v>161</v>
      </c>
      <c r="B162" s="19" t="s">
        <v>229</v>
      </c>
      <c r="C162" s="7">
        <v>3</v>
      </c>
      <c r="D162" s="7">
        <v>4</v>
      </c>
      <c r="E162" s="7" t="s">
        <v>11</v>
      </c>
    </row>
    <row r="163" spans="1:5" s="12" customFormat="1" x14ac:dyDescent="0.3">
      <c r="A163" s="10">
        <v>162</v>
      </c>
      <c r="B163" s="21" t="s">
        <v>230</v>
      </c>
      <c r="C163" s="10">
        <v>1</v>
      </c>
      <c r="D163" s="10">
        <v>2</v>
      </c>
      <c r="E163" s="10" t="s">
        <v>12</v>
      </c>
    </row>
    <row r="164" spans="1:5" s="12" customFormat="1" x14ac:dyDescent="0.3">
      <c r="A164" s="10">
        <v>163</v>
      </c>
      <c r="B164" s="21" t="s">
        <v>231</v>
      </c>
      <c r="C164" s="10">
        <v>1</v>
      </c>
      <c r="D164" s="10">
        <v>2</v>
      </c>
      <c r="E164" s="10" t="s">
        <v>12</v>
      </c>
    </row>
    <row r="165" spans="1:5" x14ac:dyDescent="0.3">
      <c r="B165" s="6"/>
    </row>
    <row r="166" spans="1:5" x14ac:dyDescent="0.3">
      <c r="B166" s="3" t="s">
        <v>238</v>
      </c>
      <c r="C166" s="4">
        <v>70</v>
      </c>
    </row>
    <row r="167" spans="1:5" x14ac:dyDescent="0.3">
      <c r="B167" s="3" t="s">
        <v>239</v>
      </c>
      <c r="C167" s="4">
        <v>46</v>
      </c>
    </row>
    <row r="168" spans="1:5" x14ac:dyDescent="0.3">
      <c r="B168" s="3" t="s">
        <v>240</v>
      </c>
      <c r="C168" s="4">
        <v>16</v>
      </c>
    </row>
    <row r="169" spans="1:5" x14ac:dyDescent="0.3">
      <c r="B169" s="3" t="s">
        <v>241</v>
      </c>
      <c r="C169" s="4">
        <v>31</v>
      </c>
    </row>
    <row r="170" spans="1:5" x14ac:dyDescent="0.3">
      <c r="B170" s="6"/>
    </row>
    <row r="171" spans="1:5" x14ac:dyDescent="0.3">
      <c r="B171" s="3" t="s">
        <v>234</v>
      </c>
      <c r="C171" s="4">
        <v>95</v>
      </c>
    </row>
    <row r="172" spans="1:5" x14ac:dyDescent="0.3">
      <c r="B172" s="3" t="s">
        <v>235</v>
      </c>
      <c r="C172" s="4">
        <v>55</v>
      </c>
    </row>
    <row r="173" spans="1:5" x14ac:dyDescent="0.3">
      <c r="B173" s="3" t="s">
        <v>236</v>
      </c>
      <c r="C173" s="4">
        <v>22</v>
      </c>
    </row>
    <row r="174" spans="1:5" x14ac:dyDescent="0.3">
      <c r="B174" s="3" t="s">
        <v>237</v>
      </c>
      <c r="C174" s="4">
        <v>40</v>
      </c>
    </row>
    <row r="175" spans="1:5" x14ac:dyDescent="0.3">
      <c r="B175" s="6"/>
    </row>
    <row r="176" spans="1:5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  <row r="192" spans="2:2" x14ac:dyDescent="0.3">
      <c r="B192" s="6"/>
    </row>
    <row r="193" spans="2:2" x14ac:dyDescent="0.3">
      <c r="B193" s="6"/>
    </row>
    <row r="194" spans="2:2" x14ac:dyDescent="0.3">
      <c r="B194" s="6"/>
    </row>
    <row r="195" spans="2:2" x14ac:dyDescent="0.3">
      <c r="B195" s="6"/>
    </row>
    <row r="196" spans="2:2" x14ac:dyDescent="0.3">
      <c r="B196" s="6"/>
    </row>
    <row r="197" spans="2:2" x14ac:dyDescent="0.3">
      <c r="B197" s="6"/>
    </row>
    <row r="198" spans="2:2" x14ac:dyDescent="0.3">
      <c r="B198" s="6"/>
    </row>
    <row r="199" spans="2:2" x14ac:dyDescent="0.3">
      <c r="B199" s="6"/>
    </row>
    <row r="200" spans="2:2" x14ac:dyDescent="0.3">
      <c r="B200" s="6"/>
    </row>
    <row r="201" spans="2:2" x14ac:dyDescent="0.3">
      <c r="B201" s="6"/>
    </row>
    <row r="202" spans="2:2" x14ac:dyDescent="0.3">
      <c r="B202" s="6"/>
    </row>
    <row r="203" spans="2:2" x14ac:dyDescent="0.3">
      <c r="B203" s="6"/>
    </row>
    <row r="204" spans="2:2" x14ac:dyDescent="0.3">
      <c r="B204" s="6"/>
    </row>
    <row r="205" spans="2:2" x14ac:dyDescent="0.3">
      <c r="B205" s="6"/>
    </row>
    <row r="206" spans="2:2" x14ac:dyDescent="0.3">
      <c r="B206" s="6"/>
    </row>
    <row r="207" spans="2:2" x14ac:dyDescent="0.3">
      <c r="B207" s="6"/>
    </row>
    <row r="208" spans="2:2" x14ac:dyDescent="0.3">
      <c r="B208" s="6"/>
    </row>
    <row r="209" spans="2:2" x14ac:dyDescent="0.3">
      <c r="B209" s="6"/>
    </row>
    <row r="210" spans="2:2" x14ac:dyDescent="0.3">
      <c r="B210" s="6"/>
    </row>
    <row r="211" spans="2:2" x14ac:dyDescent="0.3">
      <c r="B211" s="6"/>
    </row>
    <row r="212" spans="2:2" x14ac:dyDescent="0.3">
      <c r="B212" s="6"/>
    </row>
    <row r="213" spans="2:2" x14ac:dyDescent="0.3">
      <c r="B213" s="6"/>
    </row>
    <row r="214" spans="2:2" x14ac:dyDescent="0.3">
      <c r="B214" s="6"/>
    </row>
    <row r="215" spans="2:2" x14ac:dyDescent="0.3">
      <c r="B215" s="6"/>
    </row>
    <row r="216" spans="2:2" x14ac:dyDescent="0.3">
      <c r="B216" s="6"/>
    </row>
    <row r="217" spans="2:2" x14ac:dyDescent="0.3">
      <c r="B217" s="6"/>
    </row>
    <row r="218" spans="2:2" x14ac:dyDescent="0.3">
      <c r="B218" s="6"/>
    </row>
    <row r="219" spans="2:2" x14ac:dyDescent="0.3">
      <c r="B219" s="6"/>
    </row>
    <row r="220" spans="2:2" x14ac:dyDescent="0.3">
      <c r="B220" s="6"/>
    </row>
    <row r="221" spans="2:2" x14ac:dyDescent="0.3">
      <c r="B221" s="6"/>
    </row>
    <row r="222" spans="2:2" x14ac:dyDescent="0.3">
      <c r="B222" s="6"/>
    </row>
    <row r="223" spans="2:2" x14ac:dyDescent="0.3">
      <c r="B223" s="6"/>
    </row>
    <row r="224" spans="2:2" x14ac:dyDescent="0.3">
      <c r="B224" s="6"/>
    </row>
    <row r="225" spans="2:2" x14ac:dyDescent="0.3">
      <c r="B225" s="6"/>
    </row>
    <row r="226" spans="2:2" x14ac:dyDescent="0.3">
      <c r="B226" s="6"/>
    </row>
    <row r="227" spans="2:2" x14ac:dyDescent="0.3">
      <c r="B227" s="6"/>
    </row>
    <row r="228" spans="2:2" x14ac:dyDescent="0.3">
      <c r="B228" s="6"/>
    </row>
    <row r="229" spans="2:2" x14ac:dyDescent="0.3">
      <c r="B229" s="6"/>
    </row>
    <row r="230" spans="2:2" x14ac:dyDescent="0.3">
      <c r="B230" s="6"/>
    </row>
    <row r="231" spans="2:2" x14ac:dyDescent="0.3">
      <c r="B231" s="6"/>
    </row>
    <row r="232" spans="2:2" x14ac:dyDescent="0.3">
      <c r="B232" s="6"/>
    </row>
    <row r="233" spans="2:2" x14ac:dyDescent="0.3">
      <c r="B233" s="6"/>
    </row>
    <row r="234" spans="2:2" x14ac:dyDescent="0.3">
      <c r="B234" s="6"/>
    </row>
    <row r="235" spans="2:2" x14ac:dyDescent="0.3">
      <c r="B235" s="6"/>
    </row>
    <row r="236" spans="2:2" x14ac:dyDescent="0.3">
      <c r="B236" s="6"/>
    </row>
    <row r="237" spans="2:2" x14ac:dyDescent="0.3">
      <c r="B237" s="6"/>
    </row>
    <row r="238" spans="2:2" x14ac:dyDescent="0.3">
      <c r="B238" s="6"/>
    </row>
    <row r="239" spans="2:2" x14ac:dyDescent="0.3">
      <c r="B239" s="6"/>
    </row>
    <row r="240" spans="2:2" x14ac:dyDescent="0.3">
      <c r="B240" s="6"/>
    </row>
    <row r="241" spans="2:2" x14ac:dyDescent="0.3">
      <c r="B241" s="6"/>
    </row>
    <row r="242" spans="2:2" x14ac:dyDescent="0.3">
      <c r="B242" s="6"/>
    </row>
    <row r="243" spans="2:2" x14ac:dyDescent="0.3">
      <c r="B243" s="6"/>
    </row>
    <row r="244" spans="2:2" x14ac:dyDescent="0.3">
      <c r="B244" s="6"/>
    </row>
    <row r="245" spans="2:2" x14ac:dyDescent="0.3">
      <c r="B245" s="6"/>
    </row>
    <row r="246" spans="2:2" x14ac:dyDescent="0.3">
      <c r="B246" s="6"/>
    </row>
    <row r="247" spans="2:2" x14ac:dyDescent="0.3">
      <c r="B247" s="6"/>
    </row>
    <row r="248" spans="2:2" x14ac:dyDescent="0.3">
      <c r="B248" s="6"/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  <row r="256" spans="2:2" x14ac:dyDescent="0.3">
      <c r="B256" s="6"/>
    </row>
  </sheetData>
  <dataValidations count="2">
    <dataValidation type="whole" allowBlank="1" showInputMessage="1" showErrorMessage="1" sqref="D53:D68 D70:D256" xr:uid="{7DFD8EED-2A0F-4F97-9F96-8BD01F6219AB}">
      <formula1>0</formula1>
      <formula2>5</formula2>
    </dataValidation>
    <dataValidation type="whole" allowBlank="1" showInputMessage="1" showErrorMessage="1" sqref="D69" xr:uid="{0AA9E04F-8934-4E89-96A8-DF6ACDEDE1D8}">
      <formula1>0</formula1>
      <formula2>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C284-B76E-4635-8AA3-A77F145F30D8}">
  <dimension ref="A1:E256"/>
  <sheetViews>
    <sheetView zoomScale="70" zoomScaleNormal="70" workbookViewId="0">
      <selection activeCell="B166" sqref="B166:C169"/>
    </sheetView>
  </sheetViews>
  <sheetFormatPr defaultRowHeight="15.6" x14ac:dyDescent="0.3"/>
  <cols>
    <col min="1" max="1" width="4.33203125" style="4" bestFit="1" customWidth="1"/>
    <col min="2" max="2" width="39.33203125" style="5" customWidth="1"/>
    <col min="3" max="3" width="21" style="4" customWidth="1"/>
    <col min="4" max="4" width="13.33203125" style="4" customWidth="1"/>
    <col min="5" max="5" width="17.77734375" style="4" customWidth="1"/>
  </cols>
  <sheetData>
    <row r="1" spans="1:5" x14ac:dyDescent="0.3">
      <c r="A1" s="4" t="s">
        <v>15</v>
      </c>
      <c r="B1" s="4" t="s">
        <v>6</v>
      </c>
      <c r="C1" s="4" t="s">
        <v>7</v>
      </c>
      <c r="D1" s="4" t="s">
        <v>8</v>
      </c>
      <c r="E1" s="4" t="s">
        <v>10</v>
      </c>
    </row>
    <row r="2" spans="1:5" s="9" customFormat="1" x14ac:dyDescent="0.3">
      <c r="A2" s="7">
        <v>1</v>
      </c>
      <c r="B2" s="19" t="s">
        <v>70</v>
      </c>
      <c r="C2" s="7">
        <v>4</v>
      </c>
      <c r="D2" s="7">
        <v>4</v>
      </c>
      <c r="E2" s="7" t="s">
        <v>11</v>
      </c>
    </row>
    <row r="3" spans="1:5" s="12" customFormat="1" x14ac:dyDescent="0.3">
      <c r="A3" s="10">
        <v>2</v>
      </c>
      <c r="B3" s="21" t="s">
        <v>71</v>
      </c>
      <c r="C3" s="10">
        <v>2</v>
      </c>
      <c r="D3" s="10">
        <v>2</v>
      </c>
      <c r="E3" s="10" t="s">
        <v>12</v>
      </c>
    </row>
    <row r="4" spans="1:5" s="15" customFormat="1" x14ac:dyDescent="0.3">
      <c r="A4" s="13">
        <v>3</v>
      </c>
      <c r="B4" s="20" t="s">
        <v>72</v>
      </c>
      <c r="C4" s="13">
        <v>1</v>
      </c>
      <c r="D4" s="13">
        <v>3</v>
      </c>
      <c r="E4" s="13" t="s">
        <v>13</v>
      </c>
    </row>
    <row r="5" spans="1:5" s="12" customFormat="1" x14ac:dyDescent="0.3">
      <c r="A5" s="10">
        <v>4</v>
      </c>
      <c r="B5" s="21" t="s">
        <v>73</v>
      </c>
      <c r="C5" s="10">
        <v>1</v>
      </c>
      <c r="D5" s="10">
        <v>2</v>
      </c>
      <c r="E5" s="10" t="s">
        <v>12</v>
      </c>
    </row>
    <row r="6" spans="1:5" s="12" customFormat="1" x14ac:dyDescent="0.3">
      <c r="A6" s="10">
        <v>5</v>
      </c>
      <c r="B6" s="21" t="s">
        <v>74</v>
      </c>
      <c r="C6" s="10">
        <v>1</v>
      </c>
      <c r="D6" s="10">
        <v>2</v>
      </c>
      <c r="E6" s="10" t="s">
        <v>12</v>
      </c>
    </row>
    <row r="7" spans="1:5" s="18" customFormat="1" x14ac:dyDescent="0.3">
      <c r="A7" s="16">
        <v>6</v>
      </c>
      <c r="B7" s="22" t="s">
        <v>75</v>
      </c>
      <c r="C7" s="16">
        <v>3</v>
      </c>
      <c r="D7" s="16">
        <v>2</v>
      </c>
      <c r="E7" s="16" t="s">
        <v>14</v>
      </c>
    </row>
    <row r="8" spans="1:5" s="12" customFormat="1" x14ac:dyDescent="0.3">
      <c r="A8" s="10">
        <v>7</v>
      </c>
      <c r="B8" s="21" t="s">
        <v>76</v>
      </c>
      <c r="C8" s="10">
        <v>1</v>
      </c>
      <c r="D8" s="10">
        <v>2</v>
      </c>
      <c r="E8" s="10" t="s">
        <v>12</v>
      </c>
    </row>
    <row r="9" spans="1:5" s="9" customFormat="1" x14ac:dyDescent="0.3">
      <c r="A9" s="7">
        <v>8</v>
      </c>
      <c r="B9" s="19" t="s">
        <v>77</v>
      </c>
      <c r="C9" s="7">
        <v>4</v>
      </c>
      <c r="D9" s="7">
        <v>4</v>
      </c>
      <c r="E9" s="7" t="s">
        <v>11</v>
      </c>
    </row>
    <row r="10" spans="1:5" s="9" customFormat="1" x14ac:dyDescent="0.3">
      <c r="A10" s="7">
        <v>9</v>
      </c>
      <c r="B10" s="19" t="s">
        <v>78</v>
      </c>
      <c r="C10" s="7">
        <v>4</v>
      </c>
      <c r="D10" s="7">
        <v>4</v>
      </c>
      <c r="E10" s="7" t="s">
        <v>11</v>
      </c>
    </row>
    <row r="11" spans="1:5" s="9" customFormat="1" x14ac:dyDescent="0.3">
      <c r="A11" s="7">
        <v>10</v>
      </c>
      <c r="B11" s="19" t="s">
        <v>79</v>
      </c>
      <c r="C11" s="7">
        <v>4</v>
      </c>
      <c r="D11" s="7">
        <v>4</v>
      </c>
      <c r="E11" s="7" t="s">
        <v>11</v>
      </c>
    </row>
    <row r="12" spans="1:5" s="18" customFormat="1" x14ac:dyDescent="0.3">
      <c r="A12" s="16">
        <v>11</v>
      </c>
      <c r="B12" s="22" t="s">
        <v>80</v>
      </c>
      <c r="C12" s="16">
        <v>3</v>
      </c>
      <c r="D12" s="16">
        <v>2</v>
      </c>
      <c r="E12" s="16" t="s">
        <v>14</v>
      </c>
    </row>
    <row r="13" spans="1:5" s="18" customFormat="1" x14ac:dyDescent="0.3">
      <c r="A13" s="16">
        <v>12</v>
      </c>
      <c r="B13" s="22" t="s">
        <v>81</v>
      </c>
      <c r="C13" s="16">
        <v>3</v>
      </c>
      <c r="D13" s="16">
        <v>2</v>
      </c>
      <c r="E13" s="16" t="s">
        <v>14</v>
      </c>
    </row>
    <row r="14" spans="1:5" s="18" customFormat="1" x14ac:dyDescent="0.3">
      <c r="A14" s="16">
        <v>13</v>
      </c>
      <c r="B14" s="22" t="s">
        <v>82</v>
      </c>
      <c r="C14" s="16">
        <v>3</v>
      </c>
      <c r="D14" s="16">
        <v>2</v>
      </c>
      <c r="E14" s="16" t="s">
        <v>14</v>
      </c>
    </row>
    <row r="15" spans="1:5" s="9" customFormat="1" x14ac:dyDescent="0.3">
      <c r="A15" s="7">
        <v>14</v>
      </c>
      <c r="B15" s="19" t="s">
        <v>83</v>
      </c>
      <c r="C15" s="7">
        <v>4</v>
      </c>
      <c r="D15" s="7">
        <v>4</v>
      </c>
      <c r="E15" s="7" t="s">
        <v>11</v>
      </c>
    </row>
    <row r="16" spans="1:5" s="9" customFormat="1" x14ac:dyDescent="0.3">
      <c r="A16" s="7">
        <v>15</v>
      </c>
      <c r="B16" s="19" t="s">
        <v>84</v>
      </c>
      <c r="C16" s="7">
        <v>4</v>
      </c>
      <c r="D16" s="7">
        <v>4</v>
      </c>
      <c r="E16" s="7" t="s">
        <v>11</v>
      </c>
    </row>
    <row r="17" spans="1:5" s="18" customFormat="1" x14ac:dyDescent="0.3">
      <c r="A17" s="16">
        <v>16</v>
      </c>
      <c r="B17" s="22" t="s">
        <v>85</v>
      </c>
      <c r="C17" s="16">
        <v>4</v>
      </c>
      <c r="D17" s="16">
        <v>2</v>
      </c>
      <c r="E17" s="16" t="s">
        <v>14</v>
      </c>
    </row>
    <row r="18" spans="1:5" s="12" customFormat="1" x14ac:dyDescent="0.3">
      <c r="A18" s="10">
        <v>17</v>
      </c>
      <c r="B18" s="21" t="s">
        <v>86</v>
      </c>
      <c r="C18" s="10">
        <v>1</v>
      </c>
      <c r="D18" s="10">
        <v>2</v>
      </c>
      <c r="E18" s="10" t="s">
        <v>12</v>
      </c>
    </row>
    <row r="19" spans="1:5" s="12" customFormat="1" x14ac:dyDescent="0.3">
      <c r="A19" s="10">
        <v>18</v>
      </c>
      <c r="B19" s="21" t="s">
        <v>87</v>
      </c>
      <c r="C19" s="10">
        <v>1</v>
      </c>
      <c r="D19" s="10">
        <v>2</v>
      </c>
      <c r="E19" s="10" t="s">
        <v>12</v>
      </c>
    </row>
    <row r="20" spans="1:5" s="12" customFormat="1" x14ac:dyDescent="0.3">
      <c r="A20" s="10">
        <v>19</v>
      </c>
      <c r="B20" s="21" t="s">
        <v>88</v>
      </c>
      <c r="C20" s="10">
        <v>1</v>
      </c>
      <c r="D20" s="10">
        <v>2</v>
      </c>
      <c r="E20" s="10" t="s">
        <v>12</v>
      </c>
    </row>
    <row r="21" spans="1:5" s="12" customFormat="1" x14ac:dyDescent="0.3">
      <c r="A21" s="10">
        <v>20</v>
      </c>
      <c r="B21" s="21" t="s">
        <v>89</v>
      </c>
      <c r="C21" s="10">
        <v>1</v>
      </c>
      <c r="D21" s="10">
        <v>2</v>
      </c>
      <c r="E21" s="10" t="s">
        <v>12</v>
      </c>
    </row>
    <row r="22" spans="1:5" s="15" customFormat="1" x14ac:dyDescent="0.3">
      <c r="A22" s="13">
        <v>21</v>
      </c>
      <c r="B22" s="20" t="s">
        <v>90</v>
      </c>
      <c r="C22" s="13">
        <v>1</v>
      </c>
      <c r="D22" s="13">
        <v>3</v>
      </c>
      <c r="E22" s="13" t="s">
        <v>13</v>
      </c>
    </row>
    <row r="23" spans="1:5" s="12" customFormat="1" x14ac:dyDescent="0.3">
      <c r="A23" s="10">
        <v>22</v>
      </c>
      <c r="B23" s="21" t="s">
        <v>91</v>
      </c>
      <c r="C23" s="10">
        <v>1</v>
      </c>
      <c r="D23" s="10">
        <v>2</v>
      </c>
      <c r="E23" s="10" t="s">
        <v>12</v>
      </c>
    </row>
    <row r="24" spans="1:5" s="12" customFormat="1" x14ac:dyDescent="0.3">
      <c r="A24" s="10">
        <v>23</v>
      </c>
      <c r="B24" s="21" t="s">
        <v>92</v>
      </c>
      <c r="C24" s="10">
        <v>2</v>
      </c>
      <c r="D24" s="10">
        <v>2</v>
      </c>
      <c r="E24" s="10" t="s">
        <v>12</v>
      </c>
    </row>
    <row r="25" spans="1:5" s="12" customFormat="1" x14ac:dyDescent="0.3">
      <c r="A25" s="10">
        <v>24</v>
      </c>
      <c r="B25" s="21" t="s">
        <v>93</v>
      </c>
      <c r="C25" s="10">
        <v>1</v>
      </c>
      <c r="D25" s="10">
        <v>2</v>
      </c>
      <c r="E25" s="10" t="s">
        <v>12</v>
      </c>
    </row>
    <row r="26" spans="1:5" s="15" customFormat="1" x14ac:dyDescent="0.3">
      <c r="A26" s="13">
        <v>25</v>
      </c>
      <c r="B26" s="20" t="s">
        <v>94</v>
      </c>
      <c r="C26" s="13">
        <v>1</v>
      </c>
      <c r="D26" s="13">
        <v>3</v>
      </c>
      <c r="E26" s="13" t="s">
        <v>13</v>
      </c>
    </row>
    <row r="27" spans="1:5" s="12" customFormat="1" x14ac:dyDescent="0.3">
      <c r="A27" s="10">
        <v>26</v>
      </c>
      <c r="B27" s="21" t="s">
        <v>95</v>
      </c>
      <c r="C27" s="10">
        <v>2</v>
      </c>
      <c r="D27" s="10">
        <v>2</v>
      </c>
      <c r="E27" s="10" t="s">
        <v>12</v>
      </c>
    </row>
    <row r="28" spans="1:5" s="12" customFormat="1" x14ac:dyDescent="0.3">
      <c r="A28" s="10">
        <v>27</v>
      </c>
      <c r="B28" s="21" t="s">
        <v>96</v>
      </c>
      <c r="C28" s="10">
        <v>1</v>
      </c>
      <c r="D28" s="10">
        <v>2</v>
      </c>
      <c r="E28" s="10" t="s">
        <v>12</v>
      </c>
    </row>
    <row r="29" spans="1:5" s="12" customFormat="1" x14ac:dyDescent="0.3">
      <c r="A29" s="10">
        <v>28</v>
      </c>
      <c r="B29" s="21" t="s">
        <v>97</v>
      </c>
      <c r="C29" s="10">
        <v>1</v>
      </c>
      <c r="D29" s="10">
        <v>2</v>
      </c>
      <c r="E29" s="10" t="s">
        <v>12</v>
      </c>
    </row>
    <row r="30" spans="1:5" s="15" customFormat="1" x14ac:dyDescent="0.3">
      <c r="A30" s="13">
        <v>29</v>
      </c>
      <c r="B30" s="20" t="s">
        <v>98</v>
      </c>
      <c r="C30" s="13">
        <v>1</v>
      </c>
      <c r="D30" s="13">
        <v>3</v>
      </c>
      <c r="E30" s="13" t="s">
        <v>13</v>
      </c>
    </row>
    <row r="31" spans="1:5" s="15" customFormat="1" x14ac:dyDescent="0.3">
      <c r="A31" s="13">
        <v>30</v>
      </c>
      <c r="B31" s="20" t="s">
        <v>99</v>
      </c>
      <c r="C31" s="13">
        <v>1</v>
      </c>
      <c r="D31" s="13">
        <v>3</v>
      </c>
      <c r="E31" s="13" t="s">
        <v>13</v>
      </c>
    </row>
    <row r="32" spans="1:5" s="15" customFormat="1" x14ac:dyDescent="0.3">
      <c r="A32" s="13">
        <v>31</v>
      </c>
      <c r="B32" s="20" t="s">
        <v>100</v>
      </c>
      <c r="C32" s="13">
        <v>1</v>
      </c>
      <c r="D32" s="13">
        <v>3</v>
      </c>
      <c r="E32" s="13" t="s">
        <v>13</v>
      </c>
    </row>
    <row r="33" spans="1:5" s="12" customFormat="1" x14ac:dyDescent="0.3">
      <c r="A33" s="10">
        <v>32</v>
      </c>
      <c r="B33" s="21" t="s">
        <v>101</v>
      </c>
      <c r="C33" s="10">
        <v>1</v>
      </c>
      <c r="D33" s="10">
        <v>2</v>
      </c>
      <c r="E33" s="10" t="s">
        <v>12</v>
      </c>
    </row>
    <row r="34" spans="1:5" s="15" customFormat="1" x14ac:dyDescent="0.3">
      <c r="A34" s="13">
        <v>33</v>
      </c>
      <c r="B34" s="20" t="s">
        <v>102</v>
      </c>
      <c r="C34" s="13">
        <v>1</v>
      </c>
      <c r="D34" s="13">
        <v>3</v>
      </c>
      <c r="E34" s="13" t="s">
        <v>13</v>
      </c>
    </row>
    <row r="35" spans="1:5" s="15" customFormat="1" x14ac:dyDescent="0.3">
      <c r="A35" s="13">
        <v>34</v>
      </c>
      <c r="B35" s="20" t="s">
        <v>103</v>
      </c>
      <c r="C35" s="13">
        <v>1</v>
      </c>
      <c r="D35" s="13">
        <v>3</v>
      </c>
      <c r="E35" s="13" t="s">
        <v>13</v>
      </c>
    </row>
    <row r="36" spans="1:5" s="15" customFormat="1" x14ac:dyDescent="0.3">
      <c r="A36" s="13">
        <v>35</v>
      </c>
      <c r="B36" s="20" t="s">
        <v>104</v>
      </c>
      <c r="C36" s="13">
        <v>1</v>
      </c>
      <c r="D36" s="13">
        <v>3</v>
      </c>
      <c r="E36" s="13" t="s">
        <v>13</v>
      </c>
    </row>
    <row r="37" spans="1:5" s="15" customFormat="1" x14ac:dyDescent="0.3">
      <c r="A37" s="13">
        <v>36</v>
      </c>
      <c r="B37" s="20" t="s">
        <v>105</v>
      </c>
      <c r="C37" s="13">
        <v>1</v>
      </c>
      <c r="D37" s="13">
        <v>3</v>
      </c>
      <c r="E37" s="13" t="s">
        <v>13</v>
      </c>
    </row>
    <row r="38" spans="1:5" s="15" customFormat="1" x14ac:dyDescent="0.3">
      <c r="A38" s="13">
        <v>37</v>
      </c>
      <c r="B38" s="20" t="s">
        <v>106</v>
      </c>
      <c r="C38" s="13">
        <v>1</v>
      </c>
      <c r="D38" s="13">
        <v>3</v>
      </c>
      <c r="E38" s="13" t="s">
        <v>13</v>
      </c>
    </row>
    <row r="39" spans="1:5" s="15" customFormat="1" x14ac:dyDescent="0.3">
      <c r="A39" s="13">
        <v>38</v>
      </c>
      <c r="B39" s="20" t="s">
        <v>107</v>
      </c>
      <c r="C39" s="13">
        <v>1</v>
      </c>
      <c r="D39" s="13">
        <v>3</v>
      </c>
      <c r="E39" s="13" t="s">
        <v>13</v>
      </c>
    </row>
    <row r="40" spans="1:5" s="12" customFormat="1" x14ac:dyDescent="0.3">
      <c r="A40" s="10">
        <v>39</v>
      </c>
      <c r="B40" s="21" t="s">
        <v>108</v>
      </c>
      <c r="C40" s="10">
        <v>1</v>
      </c>
      <c r="D40" s="10">
        <v>2</v>
      </c>
      <c r="E40" s="10" t="s">
        <v>12</v>
      </c>
    </row>
    <row r="41" spans="1:5" s="15" customFormat="1" x14ac:dyDescent="0.3">
      <c r="A41" s="13">
        <v>40</v>
      </c>
      <c r="B41" s="20" t="s">
        <v>109</v>
      </c>
      <c r="C41" s="13">
        <v>1</v>
      </c>
      <c r="D41" s="13">
        <v>3</v>
      </c>
      <c r="E41" s="13" t="s">
        <v>13</v>
      </c>
    </row>
    <row r="42" spans="1:5" s="12" customFormat="1" x14ac:dyDescent="0.3">
      <c r="A42" s="10">
        <v>41</v>
      </c>
      <c r="B42" s="21" t="s">
        <v>110</v>
      </c>
      <c r="C42" s="10">
        <v>2</v>
      </c>
      <c r="D42" s="10">
        <v>2</v>
      </c>
      <c r="E42" s="10" t="s">
        <v>12</v>
      </c>
    </row>
    <row r="43" spans="1:5" s="9" customFormat="1" x14ac:dyDescent="0.3">
      <c r="A43" s="7">
        <v>42</v>
      </c>
      <c r="B43" s="19" t="s">
        <v>111</v>
      </c>
      <c r="C43" s="7">
        <v>4</v>
      </c>
      <c r="D43" s="7">
        <v>4</v>
      </c>
      <c r="E43" s="7" t="s">
        <v>11</v>
      </c>
    </row>
    <row r="44" spans="1:5" s="9" customFormat="1" x14ac:dyDescent="0.3">
      <c r="A44" s="7">
        <v>43</v>
      </c>
      <c r="B44" s="19" t="s">
        <v>112</v>
      </c>
      <c r="C44" s="7">
        <v>4</v>
      </c>
      <c r="D44" s="7">
        <v>4</v>
      </c>
      <c r="E44" s="7" t="s">
        <v>11</v>
      </c>
    </row>
    <row r="45" spans="1:5" s="18" customFormat="1" x14ac:dyDescent="0.3">
      <c r="A45" s="16">
        <v>44</v>
      </c>
      <c r="B45" s="22" t="s">
        <v>113</v>
      </c>
      <c r="C45" s="16">
        <v>3</v>
      </c>
      <c r="D45" s="16">
        <v>2</v>
      </c>
      <c r="E45" s="16" t="s">
        <v>14</v>
      </c>
    </row>
    <row r="46" spans="1:5" s="15" customFormat="1" x14ac:dyDescent="0.3">
      <c r="A46" s="13">
        <v>45</v>
      </c>
      <c r="B46" s="20" t="s">
        <v>114</v>
      </c>
      <c r="C46" s="13">
        <v>2</v>
      </c>
      <c r="D46" s="13">
        <v>3</v>
      </c>
      <c r="E46" s="13" t="s">
        <v>13</v>
      </c>
    </row>
    <row r="47" spans="1:5" s="9" customFormat="1" x14ac:dyDescent="0.3">
      <c r="A47" s="7">
        <v>46</v>
      </c>
      <c r="B47" s="19" t="s">
        <v>115</v>
      </c>
      <c r="C47" s="7">
        <v>4</v>
      </c>
      <c r="D47" s="7">
        <v>3</v>
      </c>
      <c r="E47" s="7" t="s">
        <v>11</v>
      </c>
    </row>
    <row r="48" spans="1:5" s="15" customFormat="1" x14ac:dyDescent="0.3">
      <c r="A48" s="13">
        <v>47</v>
      </c>
      <c r="B48" s="20" t="s">
        <v>116</v>
      </c>
      <c r="C48" s="13">
        <v>1</v>
      </c>
      <c r="D48" s="13">
        <v>4</v>
      </c>
      <c r="E48" s="13" t="s">
        <v>13</v>
      </c>
    </row>
    <row r="49" spans="1:5" s="9" customFormat="1" x14ac:dyDescent="0.3">
      <c r="A49" s="7">
        <v>48</v>
      </c>
      <c r="B49" s="19" t="s">
        <v>117</v>
      </c>
      <c r="C49" s="7">
        <v>4</v>
      </c>
      <c r="D49" s="7">
        <v>3</v>
      </c>
      <c r="E49" s="7" t="s">
        <v>11</v>
      </c>
    </row>
    <row r="50" spans="1:5" s="15" customFormat="1" x14ac:dyDescent="0.3">
      <c r="A50" s="13">
        <v>49</v>
      </c>
      <c r="B50" s="20" t="s">
        <v>118</v>
      </c>
      <c r="C50" s="13">
        <v>2</v>
      </c>
      <c r="D50" s="13">
        <v>3</v>
      </c>
      <c r="E50" s="13" t="s">
        <v>13</v>
      </c>
    </row>
    <row r="51" spans="1:5" s="9" customFormat="1" x14ac:dyDescent="0.3">
      <c r="A51" s="7">
        <v>50</v>
      </c>
      <c r="B51" s="19" t="s">
        <v>119</v>
      </c>
      <c r="C51" s="7">
        <v>4</v>
      </c>
      <c r="D51" s="7">
        <v>4</v>
      </c>
      <c r="E51" s="7" t="s">
        <v>11</v>
      </c>
    </row>
    <row r="52" spans="1:5" s="9" customFormat="1" x14ac:dyDescent="0.3">
      <c r="A52" s="7">
        <v>51</v>
      </c>
      <c r="B52" s="19" t="s">
        <v>120</v>
      </c>
      <c r="C52" s="7">
        <v>3</v>
      </c>
      <c r="D52" s="7">
        <v>3</v>
      </c>
      <c r="E52" s="7" t="s">
        <v>11</v>
      </c>
    </row>
    <row r="53" spans="1:5" s="9" customFormat="1" x14ac:dyDescent="0.3">
      <c r="A53" s="7">
        <v>52</v>
      </c>
      <c r="B53" s="19" t="s">
        <v>121</v>
      </c>
      <c r="C53" s="7">
        <v>3</v>
      </c>
      <c r="D53" s="7">
        <v>3</v>
      </c>
      <c r="E53" s="7" t="s">
        <v>11</v>
      </c>
    </row>
    <row r="54" spans="1:5" s="9" customFormat="1" x14ac:dyDescent="0.3">
      <c r="A54" s="7">
        <v>53</v>
      </c>
      <c r="B54" s="19" t="s">
        <v>122</v>
      </c>
      <c r="C54" s="7">
        <v>4</v>
      </c>
      <c r="D54" s="7">
        <v>4</v>
      </c>
      <c r="E54" s="7" t="s">
        <v>11</v>
      </c>
    </row>
    <row r="55" spans="1:5" s="9" customFormat="1" x14ac:dyDescent="0.3">
      <c r="A55" s="7">
        <v>54</v>
      </c>
      <c r="B55" s="19" t="s">
        <v>123</v>
      </c>
      <c r="C55" s="7">
        <v>4</v>
      </c>
      <c r="D55" s="7">
        <v>4</v>
      </c>
      <c r="E55" s="7" t="s">
        <v>11</v>
      </c>
    </row>
    <row r="56" spans="1:5" s="9" customFormat="1" x14ac:dyDescent="0.3">
      <c r="A56" s="7">
        <v>55</v>
      </c>
      <c r="B56" s="19" t="s">
        <v>124</v>
      </c>
      <c r="C56" s="7">
        <v>4</v>
      </c>
      <c r="D56" s="7">
        <v>4</v>
      </c>
      <c r="E56" s="7" t="s">
        <v>11</v>
      </c>
    </row>
    <row r="57" spans="1:5" s="9" customFormat="1" x14ac:dyDescent="0.3">
      <c r="A57" s="7">
        <v>56</v>
      </c>
      <c r="B57" s="19" t="s">
        <v>125</v>
      </c>
      <c r="C57" s="7">
        <v>3</v>
      </c>
      <c r="D57" s="7">
        <v>4</v>
      </c>
      <c r="E57" s="7" t="s">
        <v>11</v>
      </c>
    </row>
    <row r="58" spans="1:5" s="9" customFormat="1" x14ac:dyDescent="0.3">
      <c r="A58" s="7">
        <v>57</v>
      </c>
      <c r="B58" s="19" t="s">
        <v>126</v>
      </c>
      <c r="C58" s="7">
        <v>4</v>
      </c>
      <c r="D58" s="7">
        <v>4</v>
      </c>
      <c r="E58" s="7" t="s">
        <v>11</v>
      </c>
    </row>
    <row r="59" spans="1:5" s="15" customFormat="1" x14ac:dyDescent="0.3">
      <c r="A59" s="13">
        <v>58</v>
      </c>
      <c r="B59" s="20" t="s">
        <v>127</v>
      </c>
      <c r="C59" s="13">
        <v>1</v>
      </c>
      <c r="D59" s="13">
        <v>4</v>
      </c>
      <c r="E59" s="13" t="s">
        <v>13</v>
      </c>
    </row>
    <row r="60" spans="1:5" s="9" customFormat="1" x14ac:dyDescent="0.3">
      <c r="A60" s="7">
        <v>59</v>
      </c>
      <c r="B60" s="19" t="s">
        <v>128</v>
      </c>
      <c r="C60" s="7">
        <v>3</v>
      </c>
      <c r="D60" s="7">
        <v>4</v>
      </c>
      <c r="E60" s="7" t="s">
        <v>11</v>
      </c>
    </row>
    <row r="61" spans="1:5" s="15" customFormat="1" x14ac:dyDescent="0.3">
      <c r="A61" s="13">
        <v>60</v>
      </c>
      <c r="B61" s="20" t="s">
        <v>129</v>
      </c>
      <c r="C61" s="13">
        <v>1</v>
      </c>
      <c r="D61" s="13">
        <v>4</v>
      </c>
      <c r="E61" s="13" t="s">
        <v>13</v>
      </c>
    </row>
    <row r="62" spans="1:5" s="9" customFormat="1" x14ac:dyDescent="0.3">
      <c r="A62" s="7">
        <v>61</v>
      </c>
      <c r="B62" s="19" t="s">
        <v>130</v>
      </c>
      <c r="C62" s="7">
        <v>3</v>
      </c>
      <c r="D62" s="7">
        <v>4</v>
      </c>
      <c r="E62" s="7" t="s">
        <v>11</v>
      </c>
    </row>
    <row r="63" spans="1:5" s="9" customFormat="1" x14ac:dyDescent="0.3">
      <c r="A63" s="7">
        <v>62</v>
      </c>
      <c r="B63" s="19" t="s">
        <v>131</v>
      </c>
      <c r="C63" s="7">
        <v>3</v>
      </c>
      <c r="D63" s="7">
        <v>4</v>
      </c>
      <c r="E63" s="7" t="s">
        <v>11</v>
      </c>
    </row>
    <row r="64" spans="1:5" s="9" customFormat="1" x14ac:dyDescent="0.3">
      <c r="A64" s="7">
        <v>63</v>
      </c>
      <c r="B64" s="19" t="s">
        <v>132</v>
      </c>
      <c r="C64" s="7">
        <v>3</v>
      </c>
      <c r="D64" s="7">
        <v>4</v>
      </c>
      <c r="E64" s="7" t="s">
        <v>11</v>
      </c>
    </row>
    <row r="65" spans="1:5" s="9" customFormat="1" x14ac:dyDescent="0.3">
      <c r="A65" s="7">
        <v>64</v>
      </c>
      <c r="B65" s="19" t="s">
        <v>133</v>
      </c>
      <c r="C65" s="7">
        <v>3</v>
      </c>
      <c r="D65" s="7">
        <v>4</v>
      </c>
      <c r="E65" s="7" t="s">
        <v>11</v>
      </c>
    </row>
    <row r="66" spans="1:5" s="9" customFormat="1" x14ac:dyDescent="0.3">
      <c r="A66" s="7">
        <v>65</v>
      </c>
      <c r="B66" s="19" t="s">
        <v>134</v>
      </c>
      <c r="C66" s="7">
        <v>3</v>
      </c>
      <c r="D66" s="7">
        <v>4</v>
      </c>
      <c r="E66" s="7" t="s">
        <v>11</v>
      </c>
    </row>
    <row r="67" spans="1:5" s="9" customFormat="1" x14ac:dyDescent="0.3">
      <c r="A67" s="7">
        <v>66</v>
      </c>
      <c r="B67" s="19" t="s">
        <v>135</v>
      </c>
      <c r="C67" s="7">
        <v>3</v>
      </c>
      <c r="D67" s="7">
        <v>4</v>
      </c>
      <c r="E67" s="7" t="s">
        <v>11</v>
      </c>
    </row>
    <row r="68" spans="1:5" s="9" customFormat="1" x14ac:dyDescent="0.3">
      <c r="A68" s="7">
        <v>67</v>
      </c>
      <c r="B68" s="19" t="s">
        <v>136</v>
      </c>
      <c r="C68" s="7">
        <v>3</v>
      </c>
      <c r="D68" s="7">
        <v>4</v>
      </c>
      <c r="E68" s="7" t="s">
        <v>11</v>
      </c>
    </row>
    <row r="69" spans="1:5" s="9" customFormat="1" x14ac:dyDescent="0.3">
      <c r="A69" s="7">
        <v>68</v>
      </c>
      <c r="B69" s="19" t="s">
        <v>137</v>
      </c>
      <c r="C69" s="7">
        <v>3</v>
      </c>
      <c r="D69" s="7">
        <v>3</v>
      </c>
      <c r="E69" s="7" t="s">
        <v>11</v>
      </c>
    </row>
    <row r="70" spans="1:5" s="9" customFormat="1" x14ac:dyDescent="0.3">
      <c r="A70" s="7">
        <v>69</v>
      </c>
      <c r="B70" s="19" t="s">
        <v>138</v>
      </c>
      <c r="C70" s="7">
        <v>3</v>
      </c>
      <c r="D70" s="7">
        <v>4</v>
      </c>
      <c r="E70" s="7" t="s">
        <v>11</v>
      </c>
    </row>
    <row r="71" spans="1:5" s="9" customFormat="1" x14ac:dyDescent="0.3">
      <c r="A71" s="7">
        <v>70</v>
      </c>
      <c r="B71" s="19" t="s">
        <v>139</v>
      </c>
      <c r="C71" s="7">
        <v>3</v>
      </c>
      <c r="D71" s="7">
        <v>4</v>
      </c>
      <c r="E71" s="7" t="s">
        <v>11</v>
      </c>
    </row>
    <row r="72" spans="1:5" s="9" customFormat="1" x14ac:dyDescent="0.3">
      <c r="A72" s="7">
        <v>71</v>
      </c>
      <c r="B72" s="19" t="s">
        <v>140</v>
      </c>
      <c r="C72" s="7">
        <v>3</v>
      </c>
      <c r="D72" s="7">
        <v>4</v>
      </c>
      <c r="E72" s="7" t="s">
        <v>11</v>
      </c>
    </row>
    <row r="73" spans="1:5" s="9" customFormat="1" x14ac:dyDescent="0.3">
      <c r="A73" s="7">
        <v>72</v>
      </c>
      <c r="B73" s="19" t="s">
        <v>141</v>
      </c>
      <c r="C73" s="7">
        <v>3</v>
      </c>
      <c r="D73" s="7">
        <v>4</v>
      </c>
      <c r="E73" s="7" t="s">
        <v>11</v>
      </c>
    </row>
    <row r="74" spans="1:5" s="9" customFormat="1" x14ac:dyDescent="0.3">
      <c r="A74" s="7">
        <v>73</v>
      </c>
      <c r="B74" s="19" t="s">
        <v>142</v>
      </c>
      <c r="C74" s="7">
        <v>3</v>
      </c>
      <c r="D74" s="7">
        <v>4</v>
      </c>
      <c r="E74" s="7" t="s">
        <v>11</v>
      </c>
    </row>
    <row r="75" spans="1:5" s="9" customFormat="1" x14ac:dyDescent="0.3">
      <c r="A75" s="7">
        <v>74</v>
      </c>
      <c r="B75" s="19" t="s">
        <v>143</v>
      </c>
      <c r="C75" s="7">
        <v>3</v>
      </c>
      <c r="D75" s="7">
        <v>4</v>
      </c>
      <c r="E75" s="7" t="s">
        <v>11</v>
      </c>
    </row>
    <row r="76" spans="1:5" s="9" customFormat="1" x14ac:dyDescent="0.3">
      <c r="A76" s="7">
        <v>75</v>
      </c>
      <c r="B76" s="19" t="s">
        <v>144</v>
      </c>
      <c r="C76" s="7">
        <v>3</v>
      </c>
      <c r="D76" s="7">
        <v>4</v>
      </c>
      <c r="E76" s="7" t="s">
        <v>11</v>
      </c>
    </row>
    <row r="77" spans="1:5" s="9" customFormat="1" x14ac:dyDescent="0.3">
      <c r="A77" s="7">
        <v>76</v>
      </c>
      <c r="B77" s="19" t="s">
        <v>145</v>
      </c>
      <c r="C77" s="7">
        <v>3</v>
      </c>
      <c r="D77" s="7">
        <v>4</v>
      </c>
      <c r="E77" s="7" t="s">
        <v>11</v>
      </c>
    </row>
    <row r="78" spans="1:5" s="9" customFormat="1" x14ac:dyDescent="0.3">
      <c r="A78" s="7">
        <v>77</v>
      </c>
      <c r="B78" s="19" t="s">
        <v>146</v>
      </c>
      <c r="C78" s="7">
        <v>3</v>
      </c>
      <c r="D78" s="7">
        <v>4</v>
      </c>
      <c r="E78" s="7" t="s">
        <v>11</v>
      </c>
    </row>
    <row r="79" spans="1:5" s="9" customFormat="1" x14ac:dyDescent="0.3">
      <c r="A79" s="7">
        <v>78</v>
      </c>
      <c r="B79" s="19" t="s">
        <v>147</v>
      </c>
      <c r="C79" s="7">
        <v>3</v>
      </c>
      <c r="D79" s="7">
        <v>4</v>
      </c>
      <c r="E79" s="7" t="s">
        <v>11</v>
      </c>
    </row>
    <row r="80" spans="1:5" s="9" customFormat="1" x14ac:dyDescent="0.3">
      <c r="A80" s="7">
        <v>79</v>
      </c>
      <c r="B80" s="19" t="s">
        <v>148</v>
      </c>
      <c r="C80" s="7">
        <v>3</v>
      </c>
      <c r="D80" s="7">
        <v>3</v>
      </c>
      <c r="E80" s="7" t="s">
        <v>11</v>
      </c>
    </row>
    <row r="81" spans="1:5" s="9" customFormat="1" x14ac:dyDescent="0.3">
      <c r="A81" s="7">
        <v>80</v>
      </c>
      <c r="B81" s="19" t="s">
        <v>149</v>
      </c>
      <c r="C81" s="7">
        <v>3</v>
      </c>
      <c r="D81" s="7">
        <v>3</v>
      </c>
      <c r="E81" s="7" t="s">
        <v>11</v>
      </c>
    </row>
    <row r="82" spans="1:5" s="9" customFormat="1" x14ac:dyDescent="0.3">
      <c r="A82" s="7">
        <v>81</v>
      </c>
      <c r="B82" s="19" t="s">
        <v>150</v>
      </c>
      <c r="C82" s="7">
        <v>3</v>
      </c>
      <c r="D82" s="7">
        <v>3</v>
      </c>
      <c r="E82" s="7" t="s">
        <v>11</v>
      </c>
    </row>
    <row r="83" spans="1:5" s="9" customFormat="1" x14ac:dyDescent="0.3">
      <c r="A83" s="7">
        <v>82</v>
      </c>
      <c r="B83" s="19" t="s">
        <v>151</v>
      </c>
      <c r="C83" s="7">
        <v>4</v>
      </c>
      <c r="D83" s="7">
        <v>3</v>
      </c>
      <c r="E83" s="7" t="s">
        <v>11</v>
      </c>
    </row>
    <row r="84" spans="1:5" s="9" customFormat="1" x14ac:dyDescent="0.3">
      <c r="A84" s="7">
        <v>83</v>
      </c>
      <c r="B84" s="19" t="s">
        <v>152</v>
      </c>
      <c r="C84" s="7">
        <v>3</v>
      </c>
      <c r="D84" s="7">
        <v>4</v>
      </c>
      <c r="E84" s="7" t="s">
        <v>11</v>
      </c>
    </row>
    <row r="85" spans="1:5" s="9" customFormat="1" x14ac:dyDescent="0.3">
      <c r="A85" s="7">
        <v>84</v>
      </c>
      <c r="B85" s="19" t="s">
        <v>153</v>
      </c>
      <c r="C85" s="7">
        <v>3</v>
      </c>
      <c r="D85" s="7">
        <v>4</v>
      </c>
      <c r="E85" s="7" t="s">
        <v>11</v>
      </c>
    </row>
    <row r="86" spans="1:5" s="9" customFormat="1" x14ac:dyDescent="0.3">
      <c r="A86" s="7">
        <v>85</v>
      </c>
      <c r="B86" s="19" t="s">
        <v>154</v>
      </c>
      <c r="C86" s="7">
        <v>3</v>
      </c>
      <c r="D86" s="7">
        <v>4</v>
      </c>
      <c r="E86" s="7" t="s">
        <v>11</v>
      </c>
    </row>
    <row r="87" spans="1:5" s="15" customFormat="1" x14ac:dyDescent="0.3">
      <c r="A87" s="13">
        <v>86</v>
      </c>
      <c r="B87" s="20" t="s">
        <v>155</v>
      </c>
      <c r="C87" s="13">
        <v>1</v>
      </c>
      <c r="D87" s="13">
        <v>3</v>
      </c>
      <c r="E87" s="13" t="s">
        <v>13</v>
      </c>
    </row>
    <row r="88" spans="1:5" s="9" customFormat="1" x14ac:dyDescent="0.3">
      <c r="A88" s="7">
        <v>87</v>
      </c>
      <c r="B88" s="19" t="s">
        <v>156</v>
      </c>
      <c r="C88" s="7">
        <v>3</v>
      </c>
      <c r="D88" s="7">
        <v>3</v>
      </c>
      <c r="E88" s="7" t="s">
        <v>11</v>
      </c>
    </row>
    <row r="89" spans="1:5" s="9" customFormat="1" x14ac:dyDescent="0.3">
      <c r="A89" s="7">
        <v>88</v>
      </c>
      <c r="B89" s="19" t="s">
        <v>157</v>
      </c>
      <c r="C89" s="7">
        <v>3</v>
      </c>
      <c r="D89" s="7">
        <v>3</v>
      </c>
      <c r="E89" s="7" t="s">
        <v>11</v>
      </c>
    </row>
    <row r="90" spans="1:5" s="9" customFormat="1" x14ac:dyDescent="0.3">
      <c r="A90" s="7">
        <v>89</v>
      </c>
      <c r="B90" s="19" t="s">
        <v>158</v>
      </c>
      <c r="C90" s="7">
        <v>3</v>
      </c>
      <c r="D90" s="7">
        <v>3</v>
      </c>
      <c r="E90" s="7" t="s">
        <v>11</v>
      </c>
    </row>
    <row r="91" spans="1:5" s="9" customFormat="1" x14ac:dyDescent="0.3">
      <c r="A91" s="7">
        <v>90</v>
      </c>
      <c r="B91" s="19" t="s">
        <v>159</v>
      </c>
      <c r="C91" s="7">
        <v>3</v>
      </c>
      <c r="D91" s="7">
        <v>3</v>
      </c>
      <c r="E91" s="7" t="s">
        <v>11</v>
      </c>
    </row>
    <row r="92" spans="1:5" s="9" customFormat="1" x14ac:dyDescent="0.3">
      <c r="A92" s="7">
        <v>91</v>
      </c>
      <c r="B92" s="19" t="s">
        <v>160</v>
      </c>
      <c r="C92" s="7">
        <v>3</v>
      </c>
      <c r="D92" s="7">
        <v>3</v>
      </c>
      <c r="E92" s="7" t="s">
        <v>11</v>
      </c>
    </row>
    <row r="93" spans="1:5" s="9" customFormat="1" x14ac:dyDescent="0.3">
      <c r="A93" s="7">
        <v>92</v>
      </c>
      <c r="B93" s="19" t="s">
        <v>161</v>
      </c>
      <c r="C93" s="7">
        <v>3</v>
      </c>
      <c r="D93" s="7">
        <v>3</v>
      </c>
      <c r="E93" s="7" t="s">
        <v>11</v>
      </c>
    </row>
    <row r="94" spans="1:5" s="9" customFormat="1" x14ac:dyDescent="0.3">
      <c r="A94" s="7">
        <v>93</v>
      </c>
      <c r="B94" s="19" t="s">
        <v>162</v>
      </c>
      <c r="C94" s="7">
        <v>3</v>
      </c>
      <c r="D94" s="7">
        <v>3</v>
      </c>
      <c r="E94" s="7" t="s">
        <v>11</v>
      </c>
    </row>
    <row r="95" spans="1:5" s="9" customFormat="1" x14ac:dyDescent="0.3">
      <c r="A95" s="7">
        <v>94</v>
      </c>
      <c r="B95" s="19" t="s">
        <v>163</v>
      </c>
      <c r="C95" s="7">
        <v>3</v>
      </c>
      <c r="D95" s="7">
        <v>3</v>
      </c>
      <c r="E95" s="7" t="s">
        <v>11</v>
      </c>
    </row>
    <row r="96" spans="1:5" s="9" customFormat="1" x14ac:dyDescent="0.3">
      <c r="A96" s="7">
        <v>95</v>
      </c>
      <c r="B96" s="19" t="s">
        <v>164</v>
      </c>
      <c r="C96" s="7">
        <v>3</v>
      </c>
      <c r="D96" s="7">
        <v>3</v>
      </c>
      <c r="E96" s="7" t="s">
        <v>11</v>
      </c>
    </row>
    <row r="97" spans="1:5" s="9" customFormat="1" x14ac:dyDescent="0.3">
      <c r="A97" s="7">
        <v>96</v>
      </c>
      <c r="B97" s="19" t="s">
        <v>165</v>
      </c>
      <c r="C97" s="7">
        <v>3</v>
      </c>
      <c r="D97" s="7">
        <v>3</v>
      </c>
      <c r="E97" s="7" t="s">
        <v>11</v>
      </c>
    </row>
    <row r="98" spans="1:5" s="15" customFormat="1" x14ac:dyDescent="0.3">
      <c r="A98" s="13">
        <v>97</v>
      </c>
      <c r="B98" s="20" t="s">
        <v>166</v>
      </c>
      <c r="C98" s="13">
        <v>1</v>
      </c>
      <c r="D98" s="13">
        <v>3</v>
      </c>
      <c r="E98" s="13" t="s">
        <v>13</v>
      </c>
    </row>
    <row r="99" spans="1:5" s="15" customFormat="1" x14ac:dyDescent="0.3">
      <c r="A99" s="13">
        <v>98</v>
      </c>
      <c r="B99" s="20" t="s">
        <v>167</v>
      </c>
      <c r="C99" s="13">
        <v>1</v>
      </c>
      <c r="D99" s="13">
        <v>3</v>
      </c>
      <c r="E99" s="13" t="s">
        <v>13</v>
      </c>
    </row>
    <row r="100" spans="1:5" s="15" customFormat="1" x14ac:dyDescent="0.3">
      <c r="A100" s="13">
        <v>99</v>
      </c>
      <c r="B100" s="20" t="s">
        <v>168</v>
      </c>
      <c r="C100" s="13">
        <v>1</v>
      </c>
      <c r="D100" s="13">
        <v>3</v>
      </c>
      <c r="E100" s="13" t="s">
        <v>13</v>
      </c>
    </row>
    <row r="101" spans="1:5" s="9" customFormat="1" x14ac:dyDescent="0.3">
      <c r="A101" s="7">
        <v>100</v>
      </c>
      <c r="B101" s="19" t="s">
        <v>169</v>
      </c>
      <c r="C101" s="7">
        <v>3</v>
      </c>
      <c r="D101" s="7">
        <v>3</v>
      </c>
      <c r="E101" s="7" t="s">
        <v>11</v>
      </c>
    </row>
    <row r="102" spans="1:5" s="15" customFormat="1" x14ac:dyDescent="0.3">
      <c r="A102" s="13">
        <v>101</v>
      </c>
      <c r="B102" s="20" t="s">
        <v>170</v>
      </c>
      <c r="C102" s="13">
        <v>1</v>
      </c>
      <c r="D102" s="13">
        <v>3</v>
      </c>
      <c r="E102" s="13" t="s">
        <v>13</v>
      </c>
    </row>
    <row r="103" spans="1:5" s="15" customFormat="1" x14ac:dyDescent="0.3">
      <c r="A103" s="13">
        <v>102</v>
      </c>
      <c r="B103" s="20" t="s">
        <v>171</v>
      </c>
      <c r="C103" s="13">
        <v>1</v>
      </c>
      <c r="D103" s="13">
        <v>3</v>
      </c>
      <c r="E103" s="13" t="s">
        <v>13</v>
      </c>
    </row>
    <row r="104" spans="1:5" s="15" customFormat="1" x14ac:dyDescent="0.3">
      <c r="A104" s="13">
        <v>103</v>
      </c>
      <c r="B104" s="20" t="s">
        <v>172</v>
      </c>
      <c r="C104" s="13">
        <v>1</v>
      </c>
      <c r="D104" s="13">
        <v>3</v>
      </c>
      <c r="E104" s="13" t="s">
        <v>13</v>
      </c>
    </row>
    <row r="105" spans="1:5" s="9" customFormat="1" x14ac:dyDescent="0.3">
      <c r="A105" s="7">
        <v>104</v>
      </c>
      <c r="B105" s="19" t="s">
        <v>173</v>
      </c>
      <c r="C105" s="7">
        <v>3</v>
      </c>
      <c r="D105" s="7">
        <v>3</v>
      </c>
      <c r="E105" s="7" t="s">
        <v>11</v>
      </c>
    </row>
    <row r="106" spans="1:5" s="9" customFormat="1" x14ac:dyDescent="0.3">
      <c r="A106" s="7">
        <v>105</v>
      </c>
      <c r="B106" s="19" t="s">
        <v>174</v>
      </c>
      <c r="C106" s="7">
        <v>3</v>
      </c>
      <c r="D106" s="7">
        <v>3</v>
      </c>
      <c r="E106" s="7" t="s">
        <v>11</v>
      </c>
    </row>
    <row r="107" spans="1:5" s="15" customFormat="1" x14ac:dyDescent="0.3">
      <c r="A107" s="13">
        <v>106</v>
      </c>
      <c r="B107" s="20" t="s">
        <v>175</v>
      </c>
      <c r="C107" s="13">
        <v>1</v>
      </c>
      <c r="D107" s="13">
        <v>3</v>
      </c>
      <c r="E107" s="13" t="s">
        <v>13</v>
      </c>
    </row>
    <row r="108" spans="1:5" s="9" customFormat="1" x14ac:dyDescent="0.3">
      <c r="A108" s="7">
        <v>107</v>
      </c>
      <c r="B108" s="19" t="s">
        <v>176</v>
      </c>
      <c r="C108" s="7">
        <v>3</v>
      </c>
      <c r="D108" s="7">
        <v>3</v>
      </c>
      <c r="E108" s="7" t="s">
        <v>11</v>
      </c>
    </row>
    <row r="109" spans="1:5" s="9" customFormat="1" x14ac:dyDescent="0.3">
      <c r="A109" s="7">
        <v>108</v>
      </c>
      <c r="B109" s="19" t="s">
        <v>177</v>
      </c>
      <c r="C109" s="7">
        <v>3</v>
      </c>
      <c r="D109" s="7">
        <v>3</v>
      </c>
      <c r="E109" s="7" t="s">
        <v>11</v>
      </c>
    </row>
    <row r="110" spans="1:5" s="9" customFormat="1" x14ac:dyDescent="0.3">
      <c r="A110" s="7">
        <v>109</v>
      </c>
      <c r="B110" s="19" t="s">
        <v>178</v>
      </c>
      <c r="C110" s="7">
        <v>3</v>
      </c>
      <c r="D110" s="7">
        <v>3</v>
      </c>
      <c r="E110" s="7" t="s">
        <v>11</v>
      </c>
    </row>
    <row r="111" spans="1:5" s="9" customFormat="1" x14ac:dyDescent="0.3">
      <c r="A111" s="7">
        <v>110</v>
      </c>
      <c r="B111" s="19" t="s">
        <v>179</v>
      </c>
      <c r="C111" s="7">
        <v>3</v>
      </c>
      <c r="D111" s="7">
        <v>3</v>
      </c>
      <c r="E111" s="7" t="s">
        <v>11</v>
      </c>
    </row>
    <row r="112" spans="1:5" s="15" customFormat="1" x14ac:dyDescent="0.3">
      <c r="A112" s="13">
        <v>111</v>
      </c>
      <c r="B112" s="20" t="s">
        <v>180</v>
      </c>
      <c r="C112" s="13">
        <v>1</v>
      </c>
      <c r="D112" s="13">
        <v>3</v>
      </c>
      <c r="E112" s="13" t="s">
        <v>13</v>
      </c>
    </row>
    <row r="113" spans="1:5" s="9" customFormat="1" x14ac:dyDescent="0.3">
      <c r="A113" s="7">
        <v>112</v>
      </c>
      <c r="B113" s="19" t="s">
        <v>232</v>
      </c>
      <c r="C113" s="7">
        <v>4</v>
      </c>
      <c r="D113" s="7">
        <v>3</v>
      </c>
      <c r="E113" s="7" t="s">
        <v>11</v>
      </c>
    </row>
    <row r="114" spans="1:5" s="9" customFormat="1" x14ac:dyDescent="0.3">
      <c r="A114" s="7">
        <v>113</v>
      </c>
      <c r="B114" s="19" t="s">
        <v>181</v>
      </c>
      <c r="C114" s="7">
        <v>4</v>
      </c>
      <c r="D114" s="7">
        <v>3</v>
      </c>
      <c r="E114" s="7" t="s">
        <v>11</v>
      </c>
    </row>
    <row r="115" spans="1:5" s="9" customFormat="1" x14ac:dyDescent="0.3">
      <c r="A115" s="7">
        <v>114</v>
      </c>
      <c r="B115" s="19" t="s">
        <v>182</v>
      </c>
      <c r="C115" s="7">
        <v>4</v>
      </c>
      <c r="D115" s="7">
        <v>3</v>
      </c>
      <c r="E115" s="7" t="s">
        <v>11</v>
      </c>
    </row>
    <row r="116" spans="1:5" s="9" customFormat="1" x14ac:dyDescent="0.3">
      <c r="A116" s="7">
        <v>115</v>
      </c>
      <c r="B116" s="19" t="s">
        <v>183</v>
      </c>
      <c r="C116" s="7">
        <v>3</v>
      </c>
      <c r="D116" s="7">
        <v>3</v>
      </c>
      <c r="E116" s="7" t="s">
        <v>11</v>
      </c>
    </row>
    <row r="117" spans="1:5" s="9" customFormat="1" x14ac:dyDescent="0.3">
      <c r="A117" s="7">
        <v>116</v>
      </c>
      <c r="B117" s="19" t="s">
        <v>184</v>
      </c>
      <c r="C117" s="7">
        <v>3</v>
      </c>
      <c r="D117" s="7">
        <v>3</v>
      </c>
      <c r="E117" s="7" t="s">
        <v>11</v>
      </c>
    </row>
    <row r="118" spans="1:5" s="9" customFormat="1" x14ac:dyDescent="0.3">
      <c r="A118" s="7">
        <v>117</v>
      </c>
      <c r="B118" s="19" t="s">
        <v>185</v>
      </c>
      <c r="C118" s="7">
        <v>3</v>
      </c>
      <c r="D118" s="7">
        <v>3</v>
      </c>
      <c r="E118" s="7" t="s">
        <v>11</v>
      </c>
    </row>
    <row r="119" spans="1:5" s="9" customFormat="1" x14ac:dyDescent="0.3">
      <c r="A119" s="7">
        <v>118</v>
      </c>
      <c r="B119" s="19" t="s">
        <v>186</v>
      </c>
      <c r="C119" s="7">
        <v>3</v>
      </c>
      <c r="D119" s="7">
        <v>3</v>
      </c>
      <c r="E119" s="7" t="s">
        <v>11</v>
      </c>
    </row>
    <row r="120" spans="1:5" s="9" customFormat="1" x14ac:dyDescent="0.3">
      <c r="A120" s="7">
        <v>119</v>
      </c>
      <c r="B120" s="19" t="s">
        <v>187</v>
      </c>
      <c r="C120" s="7">
        <v>3</v>
      </c>
      <c r="D120" s="7">
        <v>4</v>
      </c>
      <c r="E120" s="7" t="s">
        <v>11</v>
      </c>
    </row>
    <row r="121" spans="1:5" s="9" customFormat="1" x14ac:dyDescent="0.3">
      <c r="A121" s="7">
        <v>120</v>
      </c>
      <c r="B121" s="19" t="s">
        <v>188</v>
      </c>
      <c r="C121" s="7">
        <v>3</v>
      </c>
      <c r="D121" s="7">
        <v>4</v>
      </c>
      <c r="E121" s="7" t="s">
        <v>11</v>
      </c>
    </row>
    <row r="122" spans="1:5" s="9" customFormat="1" x14ac:dyDescent="0.3">
      <c r="A122" s="7">
        <v>121</v>
      </c>
      <c r="B122" s="19" t="s">
        <v>189</v>
      </c>
      <c r="C122" s="7">
        <v>3</v>
      </c>
      <c r="D122" s="7">
        <v>4</v>
      </c>
      <c r="E122" s="7" t="s">
        <v>11</v>
      </c>
    </row>
    <row r="123" spans="1:5" s="9" customFormat="1" x14ac:dyDescent="0.3">
      <c r="A123" s="7">
        <v>122</v>
      </c>
      <c r="B123" s="19" t="s">
        <v>190</v>
      </c>
      <c r="C123" s="7">
        <v>3</v>
      </c>
      <c r="D123" s="7">
        <v>4</v>
      </c>
      <c r="E123" s="7" t="s">
        <v>11</v>
      </c>
    </row>
    <row r="124" spans="1:5" s="9" customFormat="1" x14ac:dyDescent="0.3">
      <c r="A124" s="7">
        <v>123</v>
      </c>
      <c r="B124" s="19" t="s">
        <v>191</v>
      </c>
      <c r="C124" s="7">
        <v>3</v>
      </c>
      <c r="D124" s="7">
        <v>4</v>
      </c>
      <c r="E124" s="7" t="s">
        <v>11</v>
      </c>
    </row>
    <row r="125" spans="1:5" s="9" customFormat="1" x14ac:dyDescent="0.3">
      <c r="A125" s="7">
        <v>124</v>
      </c>
      <c r="B125" s="19" t="s">
        <v>192</v>
      </c>
      <c r="C125" s="7">
        <v>3</v>
      </c>
      <c r="D125" s="7">
        <v>4</v>
      </c>
      <c r="E125" s="7" t="s">
        <v>11</v>
      </c>
    </row>
    <row r="126" spans="1:5" s="18" customFormat="1" x14ac:dyDescent="0.3">
      <c r="A126" s="16">
        <v>125</v>
      </c>
      <c r="B126" s="22" t="s">
        <v>193</v>
      </c>
      <c r="C126" s="16">
        <v>3</v>
      </c>
      <c r="D126" s="16">
        <v>2</v>
      </c>
      <c r="E126" s="16" t="s">
        <v>14</v>
      </c>
    </row>
    <row r="127" spans="1:5" s="9" customFormat="1" x14ac:dyDescent="0.3">
      <c r="A127" s="7">
        <v>126</v>
      </c>
      <c r="B127" s="19" t="s">
        <v>194</v>
      </c>
      <c r="C127" s="7">
        <v>3</v>
      </c>
      <c r="D127" s="7">
        <v>4</v>
      </c>
      <c r="E127" s="7" t="s">
        <v>11</v>
      </c>
    </row>
    <row r="128" spans="1:5" s="12" customFormat="1" x14ac:dyDescent="0.3">
      <c r="A128" s="10">
        <v>127</v>
      </c>
      <c r="B128" s="21" t="s">
        <v>195</v>
      </c>
      <c r="C128" s="10">
        <v>1</v>
      </c>
      <c r="D128" s="10">
        <v>1</v>
      </c>
      <c r="E128" s="10" t="s">
        <v>12</v>
      </c>
    </row>
    <row r="129" spans="1:5" s="12" customFormat="1" x14ac:dyDescent="0.3">
      <c r="A129" s="10">
        <v>128</v>
      </c>
      <c r="B129" s="21" t="s">
        <v>196</v>
      </c>
      <c r="C129" s="10">
        <v>1</v>
      </c>
      <c r="D129" s="10">
        <v>1</v>
      </c>
      <c r="E129" s="10" t="s">
        <v>12</v>
      </c>
    </row>
    <row r="130" spans="1:5" s="12" customFormat="1" x14ac:dyDescent="0.3">
      <c r="A130" s="10">
        <v>129</v>
      </c>
      <c r="B130" s="21" t="s">
        <v>197</v>
      </c>
      <c r="C130" s="10">
        <v>1</v>
      </c>
      <c r="D130" s="10">
        <v>1</v>
      </c>
      <c r="E130" s="10" t="s">
        <v>12</v>
      </c>
    </row>
    <row r="131" spans="1:5" s="12" customFormat="1" x14ac:dyDescent="0.3">
      <c r="A131" s="10">
        <v>130</v>
      </c>
      <c r="B131" s="21" t="s">
        <v>198</v>
      </c>
      <c r="C131" s="10">
        <v>1</v>
      </c>
      <c r="D131" s="10">
        <v>1</v>
      </c>
      <c r="E131" s="10" t="s">
        <v>12</v>
      </c>
    </row>
    <row r="132" spans="1:5" s="15" customFormat="1" x14ac:dyDescent="0.3">
      <c r="A132" s="13">
        <v>131</v>
      </c>
      <c r="B132" s="20" t="s">
        <v>199</v>
      </c>
      <c r="C132" s="13">
        <v>1</v>
      </c>
      <c r="D132" s="13">
        <v>3</v>
      </c>
      <c r="E132" s="13" t="s">
        <v>13</v>
      </c>
    </row>
    <row r="133" spans="1:5" s="15" customFormat="1" x14ac:dyDescent="0.3">
      <c r="A133" s="13">
        <v>132</v>
      </c>
      <c r="B133" s="20" t="s">
        <v>200</v>
      </c>
      <c r="C133" s="13">
        <v>1</v>
      </c>
      <c r="D133" s="13">
        <v>3</v>
      </c>
      <c r="E133" s="13" t="s">
        <v>13</v>
      </c>
    </row>
    <row r="134" spans="1:5" s="15" customFormat="1" x14ac:dyDescent="0.3">
      <c r="A134" s="13">
        <v>133</v>
      </c>
      <c r="B134" s="20" t="s">
        <v>201</v>
      </c>
      <c r="C134" s="13">
        <v>1</v>
      </c>
      <c r="D134" s="13">
        <v>3</v>
      </c>
      <c r="E134" s="13" t="s">
        <v>13</v>
      </c>
    </row>
    <row r="135" spans="1:5" s="15" customFormat="1" x14ac:dyDescent="0.3">
      <c r="A135" s="13">
        <v>134</v>
      </c>
      <c r="B135" s="20" t="s">
        <v>202</v>
      </c>
      <c r="C135" s="13">
        <v>1</v>
      </c>
      <c r="D135" s="13">
        <v>4</v>
      </c>
      <c r="E135" s="13" t="s">
        <v>13</v>
      </c>
    </row>
    <row r="136" spans="1:5" s="15" customFormat="1" x14ac:dyDescent="0.3">
      <c r="A136" s="13">
        <v>135</v>
      </c>
      <c r="B136" s="20" t="s">
        <v>203</v>
      </c>
      <c r="C136" s="13">
        <v>1</v>
      </c>
      <c r="D136" s="13">
        <v>3</v>
      </c>
      <c r="E136" s="13" t="s">
        <v>13</v>
      </c>
    </row>
    <row r="137" spans="1:5" s="15" customFormat="1" x14ac:dyDescent="0.3">
      <c r="A137" s="13">
        <v>136</v>
      </c>
      <c r="B137" s="20" t="s">
        <v>204</v>
      </c>
      <c r="C137" s="13">
        <v>1</v>
      </c>
      <c r="D137" s="13">
        <v>4</v>
      </c>
      <c r="E137" s="13" t="s">
        <v>13</v>
      </c>
    </row>
    <row r="138" spans="1:5" s="15" customFormat="1" x14ac:dyDescent="0.3">
      <c r="A138" s="13">
        <v>137</v>
      </c>
      <c r="B138" s="20" t="s">
        <v>205</v>
      </c>
      <c r="C138" s="13">
        <v>1</v>
      </c>
      <c r="D138" s="13">
        <v>4</v>
      </c>
      <c r="E138" s="13" t="s">
        <v>13</v>
      </c>
    </row>
    <row r="139" spans="1:5" s="18" customFormat="1" x14ac:dyDescent="0.3">
      <c r="A139" s="16">
        <v>138</v>
      </c>
      <c r="B139" s="22" t="s">
        <v>206</v>
      </c>
      <c r="C139" s="16">
        <v>3</v>
      </c>
      <c r="D139" s="16">
        <v>1</v>
      </c>
      <c r="E139" s="16" t="s">
        <v>14</v>
      </c>
    </row>
    <row r="140" spans="1:5" s="18" customFormat="1" x14ac:dyDescent="0.3">
      <c r="A140" s="16">
        <v>139</v>
      </c>
      <c r="B140" s="22" t="s">
        <v>207</v>
      </c>
      <c r="C140" s="16">
        <v>3</v>
      </c>
      <c r="D140" s="16">
        <v>1</v>
      </c>
      <c r="E140" s="16" t="s">
        <v>14</v>
      </c>
    </row>
    <row r="141" spans="1:5" s="9" customFormat="1" x14ac:dyDescent="0.3">
      <c r="A141" s="7">
        <v>140</v>
      </c>
      <c r="B141" s="19" t="s">
        <v>208</v>
      </c>
      <c r="C141" s="7">
        <v>3</v>
      </c>
      <c r="D141" s="7">
        <v>3</v>
      </c>
      <c r="E141" s="7" t="s">
        <v>11</v>
      </c>
    </row>
    <row r="142" spans="1:5" s="18" customFormat="1" x14ac:dyDescent="0.3">
      <c r="A142" s="16">
        <v>141</v>
      </c>
      <c r="B142" s="22" t="s">
        <v>209</v>
      </c>
      <c r="C142" s="16">
        <v>3</v>
      </c>
      <c r="D142" s="16">
        <v>1</v>
      </c>
      <c r="E142" s="16" t="s">
        <v>14</v>
      </c>
    </row>
    <row r="143" spans="1:5" s="15" customFormat="1" x14ac:dyDescent="0.3">
      <c r="A143" s="13">
        <v>142</v>
      </c>
      <c r="B143" s="20" t="s">
        <v>210</v>
      </c>
      <c r="C143" s="13">
        <v>1</v>
      </c>
      <c r="D143" s="13">
        <v>3</v>
      </c>
      <c r="E143" s="13" t="s">
        <v>13</v>
      </c>
    </row>
    <row r="144" spans="1:5" s="9" customFormat="1" x14ac:dyDescent="0.3">
      <c r="A144" s="7">
        <v>143</v>
      </c>
      <c r="B144" s="19" t="s">
        <v>211</v>
      </c>
      <c r="C144" s="7">
        <v>3</v>
      </c>
      <c r="D144" s="7">
        <v>3</v>
      </c>
      <c r="E144" s="7" t="s">
        <v>11</v>
      </c>
    </row>
    <row r="145" spans="1:5" s="9" customFormat="1" x14ac:dyDescent="0.3">
      <c r="A145" s="7">
        <v>144</v>
      </c>
      <c r="B145" s="19" t="s">
        <v>212</v>
      </c>
      <c r="C145" s="7">
        <v>3</v>
      </c>
      <c r="D145" s="7">
        <v>3</v>
      </c>
      <c r="E145" s="7" t="s">
        <v>11</v>
      </c>
    </row>
    <row r="146" spans="1:5" s="9" customFormat="1" x14ac:dyDescent="0.3">
      <c r="A146" s="7">
        <v>145</v>
      </c>
      <c r="B146" s="19" t="s">
        <v>213</v>
      </c>
      <c r="C146" s="7">
        <v>3</v>
      </c>
      <c r="D146" s="7">
        <v>3</v>
      </c>
      <c r="E146" s="7" t="s">
        <v>11</v>
      </c>
    </row>
    <row r="147" spans="1:5" s="9" customFormat="1" x14ac:dyDescent="0.3">
      <c r="A147" s="7">
        <v>146</v>
      </c>
      <c r="B147" s="19" t="s">
        <v>214</v>
      </c>
      <c r="C147" s="7">
        <v>3</v>
      </c>
      <c r="D147" s="7">
        <v>3</v>
      </c>
      <c r="E147" s="7" t="s">
        <v>11</v>
      </c>
    </row>
    <row r="148" spans="1:5" s="9" customFormat="1" x14ac:dyDescent="0.3">
      <c r="A148" s="7">
        <v>147</v>
      </c>
      <c r="B148" s="19" t="s">
        <v>215</v>
      </c>
      <c r="C148" s="7">
        <v>3</v>
      </c>
      <c r="D148" s="7">
        <v>3</v>
      </c>
      <c r="E148" s="7" t="s">
        <v>11</v>
      </c>
    </row>
    <row r="149" spans="1:5" s="9" customFormat="1" x14ac:dyDescent="0.3">
      <c r="A149" s="7">
        <v>148</v>
      </c>
      <c r="B149" s="19" t="s">
        <v>216</v>
      </c>
      <c r="C149" s="7">
        <v>3</v>
      </c>
      <c r="D149" s="7">
        <v>3</v>
      </c>
      <c r="E149" s="7" t="s">
        <v>11</v>
      </c>
    </row>
    <row r="150" spans="1:5" s="9" customFormat="1" x14ac:dyDescent="0.3">
      <c r="A150" s="7">
        <v>149</v>
      </c>
      <c r="B150" s="19" t="s">
        <v>217</v>
      </c>
      <c r="C150" s="7">
        <v>3</v>
      </c>
      <c r="D150" s="7">
        <v>3</v>
      </c>
      <c r="E150" s="7" t="s">
        <v>11</v>
      </c>
    </row>
    <row r="151" spans="1:5" s="9" customFormat="1" x14ac:dyDescent="0.3">
      <c r="A151" s="7">
        <v>150</v>
      </c>
      <c r="B151" s="19" t="s">
        <v>218</v>
      </c>
      <c r="C151" s="7">
        <v>3</v>
      </c>
      <c r="D151" s="7">
        <v>3</v>
      </c>
      <c r="E151" s="7" t="s">
        <v>11</v>
      </c>
    </row>
    <row r="152" spans="1:5" s="9" customFormat="1" x14ac:dyDescent="0.3">
      <c r="A152" s="7">
        <v>151</v>
      </c>
      <c r="B152" s="19" t="s">
        <v>219</v>
      </c>
      <c r="C152" s="7">
        <v>3</v>
      </c>
      <c r="D152" s="7">
        <v>3</v>
      </c>
      <c r="E152" s="7" t="s">
        <v>11</v>
      </c>
    </row>
    <row r="153" spans="1:5" s="9" customFormat="1" x14ac:dyDescent="0.3">
      <c r="A153" s="7">
        <v>152</v>
      </c>
      <c r="B153" s="19" t="s">
        <v>220</v>
      </c>
      <c r="C153" s="7">
        <v>3</v>
      </c>
      <c r="D153" s="7">
        <v>3</v>
      </c>
      <c r="E153" s="7" t="s">
        <v>11</v>
      </c>
    </row>
    <row r="154" spans="1:5" s="15" customFormat="1" x14ac:dyDescent="0.3">
      <c r="A154" s="13">
        <v>153</v>
      </c>
      <c r="B154" s="20" t="s">
        <v>221</v>
      </c>
      <c r="C154" s="13">
        <v>1</v>
      </c>
      <c r="D154" s="13">
        <v>3</v>
      </c>
      <c r="E154" s="13" t="s">
        <v>13</v>
      </c>
    </row>
    <row r="155" spans="1:5" s="15" customFormat="1" x14ac:dyDescent="0.3">
      <c r="A155" s="13">
        <v>154</v>
      </c>
      <c r="B155" s="20" t="s">
        <v>222</v>
      </c>
      <c r="C155" s="13">
        <v>1</v>
      </c>
      <c r="D155" s="13">
        <v>3</v>
      </c>
      <c r="E155" s="13" t="s">
        <v>13</v>
      </c>
    </row>
    <row r="156" spans="1:5" s="9" customFormat="1" x14ac:dyDescent="0.3">
      <c r="A156" s="7">
        <v>155</v>
      </c>
      <c r="B156" s="19" t="s">
        <v>223</v>
      </c>
      <c r="C156" s="7">
        <v>3</v>
      </c>
      <c r="D156" s="7">
        <v>3</v>
      </c>
      <c r="E156" s="7" t="s">
        <v>11</v>
      </c>
    </row>
    <row r="157" spans="1:5" s="15" customFormat="1" x14ac:dyDescent="0.3">
      <c r="A157" s="13">
        <v>156</v>
      </c>
      <c r="B157" s="20" t="s">
        <v>224</v>
      </c>
      <c r="C157" s="13">
        <v>1</v>
      </c>
      <c r="D157" s="13">
        <v>3</v>
      </c>
      <c r="E157" s="13" t="s">
        <v>13</v>
      </c>
    </row>
    <row r="158" spans="1:5" s="15" customFormat="1" x14ac:dyDescent="0.3">
      <c r="A158" s="13">
        <v>157</v>
      </c>
      <c r="B158" s="20" t="s">
        <v>225</v>
      </c>
      <c r="C158" s="13">
        <v>1</v>
      </c>
      <c r="D158" s="13">
        <v>3</v>
      </c>
      <c r="E158" s="13" t="s">
        <v>13</v>
      </c>
    </row>
    <row r="159" spans="1:5" s="9" customFormat="1" x14ac:dyDescent="0.3">
      <c r="A159" s="7">
        <v>158</v>
      </c>
      <c r="B159" s="19" t="s">
        <v>226</v>
      </c>
      <c r="C159" s="7">
        <v>3</v>
      </c>
      <c r="D159" s="7">
        <v>3</v>
      </c>
      <c r="E159" s="7" t="s">
        <v>11</v>
      </c>
    </row>
    <row r="160" spans="1:5" s="9" customFormat="1" x14ac:dyDescent="0.3">
      <c r="A160" s="7">
        <v>159</v>
      </c>
      <c r="B160" s="19" t="s">
        <v>227</v>
      </c>
      <c r="C160" s="7">
        <v>3</v>
      </c>
      <c r="D160" s="7">
        <v>4</v>
      </c>
      <c r="E160" s="7" t="s">
        <v>11</v>
      </c>
    </row>
    <row r="161" spans="1:5" s="9" customFormat="1" x14ac:dyDescent="0.3">
      <c r="A161" s="7">
        <v>160</v>
      </c>
      <c r="B161" s="19" t="s">
        <v>228</v>
      </c>
      <c r="C161" s="7">
        <v>3</v>
      </c>
      <c r="D161" s="7">
        <v>4</v>
      </c>
      <c r="E161" s="7" t="s">
        <v>11</v>
      </c>
    </row>
    <row r="162" spans="1:5" s="9" customFormat="1" x14ac:dyDescent="0.3">
      <c r="A162" s="7">
        <v>161</v>
      </c>
      <c r="B162" s="19" t="s">
        <v>229</v>
      </c>
      <c r="C162" s="7">
        <v>3</v>
      </c>
      <c r="D162" s="7">
        <v>4</v>
      </c>
      <c r="E162" s="7" t="s">
        <v>11</v>
      </c>
    </row>
    <row r="163" spans="1:5" s="15" customFormat="1" x14ac:dyDescent="0.3">
      <c r="A163" s="13">
        <v>162</v>
      </c>
      <c r="B163" s="20" t="s">
        <v>230</v>
      </c>
      <c r="C163" s="13">
        <v>1</v>
      </c>
      <c r="D163" s="13">
        <v>3</v>
      </c>
      <c r="E163" s="13" t="s">
        <v>13</v>
      </c>
    </row>
    <row r="164" spans="1:5" s="15" customFormat="1" x14ac:dyDescent="0.3">
      <c r="A164" s="13">
        <v>163</v>
      </c>
      <c r="B164" s="20" t="s">
        <v>231</v>
      </c>
      <c r="C164" s="13">
        <v>1</v>
      </c>
      <c r="D164" s="13">
        <v>3</v>
      </c>
      <c r="E164" s="13" t="s">
        <v>13</v>
      </c>
    </row>
    <row r="165" spans="1:5" x14ac:dyDescent="0.3">
      <c r="B165" s="6"/>
    </row>
    <row r="166" spans="1:5" x14ac:dyDescent="0.3">
      <c r="B166" s="3" t="s">
        <v>254</v>
      </c>
      <c r="C166" s="4">
        <v>91</v>
      </c>
    </row>
    <row r="167" spans="1:5" x14ac:dyDescent="0.3">
      <c r="B167" s="3" t="s">
        <v>255</v>
      </c>
      <c r="C167" s="4">
        <v>21</v>
      </c>
    </row>
    <row r="168" spans="1:5" x14ac:dyDescent="0.3">
      <c r="B168" s="3" t="s">
        <v>256</v>
      </c>
      <c r="C168" s="4">
        <v>41</v>
      </c>
    </row>
    <row r="169" spans="1:5" x14ac:dyDescent="0.3">
      <c r="B169" s="3" t="s">
        <v>257</v>
      </c>
      <c r="C169" s="4">
        <v>10</v>
      </c>
    </row>
    <row r="170" spans="1:5" x14ac:dyDescent="0.3">
      <c r="B170" s="6"/>
    </row>
    <row r="171" spans="1:5" x14ac:dyDescent="0.3">
      <c r="B171" s="3" t="s">
        <v>258</v>
      </c>
      <c r="C171" s="4">
        <v>116</v>
      </c>
    </row>
    <row r="172" spans="1:5" x14ac:dyDescent="0.3">
      <c r="B172" s="3" t="s">
        <v>259</v>
      </c>
      <c r="C172" s="4">
        <v>24</v>
      </c>
    </row>
    <row r="173" spans="1:5" x14ac:dyDescent="0.3">
      <c r="B173" s="3" t="s">
        <v>260</v>
      </c>
      <c r="C173" s="4">
        <v>53</v>
      </c>
    </row>
    <row r="174" spans="1:5" x14ac:dyDescent="0.3">
      <c r="B174" s="3" t="s">
        <v>261</v>
      </c>
      <c r="C174" s="4">
        <v>19</v>
      </c>
    </row>
    <row r="175" spans="1:5" x14ac:dyDescent="0.3">
      <c r="B175" s="6"/>
    </row>
    <row r="176" spans="1:5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  <row r="192" spans="2:2" x14ac:dyDescent="0.3">
      <c r="B192" s="6"/>
    </row>
    <row r="193" spans="2:2" x14ac:dyDescent="0.3">
      <c r="B193" s="6"/>
    </row>
    <row r="194" spans="2:2" x14ac:dyDescent="0.3">
      <c r="B194" s="6"/>
    </row>
    <row r="195" spans="2:2" x14ac:dyDescent="0.3">
      <c r="B195" s="6"/>
    </row>
    <row r="196" spans="2:2" x14ac:dyDescent="0.3">
      <c r="B196" s="6"/>
    </row>
    <row r="197" spans="2:2" x14ac:dyDescent="0.3">
      <c r="B197" s="6"/>
    </row>
    <row r="198" spans="2:2" x14ac:dyDescent="0.3">
      <c r="B198" s="6"/>
    </row>
    <row r="199" spans="2:2" x14ac:dyDescent="0.3">
      <c r="B199" s="6"/>
    </row>
    <row r="200" spans="2:2" x14ac:dyDescent="0.3">
      <c r="B200" s="6"/>
    </row>
    <row r="201" spans="2:2" x14ac:dyDescent="0.3">
      <c r="B201" s="6"/>
    </row>
    <row r="202" spans="2:2" x14ac:dyDescent="0.3">
      <c r="B202" s="6"/>
    </row>
    <row r="203" spans="2:2" x14ac:dyDescent="0.3">
      <c r="B203" s="6"/>
    </row>
    <row r="204" spans="2:2" x14ac:dyDescent="0.3">
      <c r="B204" s="6"/>
    </row>
    <row r="205" spans="2:2" x14ac:dyDescent="0.3">
      <c r="B205" s="6"/>
    </row>
    <row r="206" spans="2:2" x14ac:dyDescent="0.3">
      <c r="B206" s="6"/>
    </row>
    <row r="207" spans="2:2" x14ac:dyDescent="0.3">
      <c r="B207" s="6"/>
    </row>
    <row r="208" spans="2:2" x14ac:dyDescent="0.3">
      <c r="B208" s="6"/>
    </row>
    <row r="209" spans="2:2" x14ac:dyDescent="0.3">
      <c r="B209" s="6"/>
    </row>
    <row r="210" spans="2:2" x14ac:dyDescent="0.3">
      <c r="B210" s="6"/>
    </row>
    <row r="211" spans="2:2" x14ac:dyDescent="0.3">
      <c r="B211" s="6"/>
    </row>
    <row r="212" spans="2:2" x14ac:dyDescent="0.3">
      <c r="B212" s="6"/>
    </row>
    <row r="213" spans="2:2" x14ac:dyDescent="0.3">
      <c r="B213" s="6"/>
    </row>
    <row r="214" spans="2:2" x14ac:dyDescent="0.3">
      <c r="B214" s="6"/>
    </row>
    <row r="215" spans="2:2" x14ac:dyDescent="0.3">
      <c r="B215" s="6"/>
    </row>
    <row r="216" spans="2:2" x14ac:dyDescent="0.3">
      <c r="B216" s="6"/>
    </row>
    <row r="217" spans="2:2" x14ac:dyDescent="0.3">
      <c r="B217" s="6"/>
    </row>
    <row r="218" spans="2:2" x14ac:dyDescent="0.3">
      <c r="B218" s="6"/>
    </row>
    <row r="219" spans="2:2" x14ac:dyDescent="0.3">
      <c r="B219" s="6"/>
    </row>
    <row r="220" spans="2:2" x14ac:dyDescent="0.3">
      <c r="B220" s="6"/>
    </row>
    <row r="221" spans="2:2" x14ac:dyDescent="0.3">
      <c r="B221" s="6"/>
    </row>
    <row r="222" spans="2:2" x14ac:dyDescent="0.3">
      <c r="B222" s="6"/>
    </row>
    <row r="223" spans="2:2" x14ac:dyDescent="0.3">
      <c r="B223" s="6"/>
    </row>
    <row r="224" spans="2:2" x14ac:dyDescent="0.3">
      <c r="B224" s="6"/>
    </row>
    <row r="225" spans="2:2" x14ac:dyDescent="0.3">
      <c r="B225" s="6"/>
    </row>
    <row r="226" spans="2:2" x14ac:dyDescent="0.3">
      <c r="B226" s="6"/>
    </row>
    <row r="227" spans="2:2" x14ac:dyDescent="0.3">
      <c r="B227" s="6"/>
    </row>
    <row r="228" spans="2:2" x14ac:dyDescent="0.3">
      <c r="B228" s="6"/>
    </row>
    <row r="229" spans="2:2" x14ac:dyDescent="0.3">
      <c r="B229" s="6"/>
    </row>
    <row r="230" spans="2:2" x14ac:dyDescent="0.3">
      <c r="B230" s="6"/>
    </row>
    <row r="231" spans="2:2" x14ac:dyDescent="0.3">
      <c r="B231" s="6"/>
    </row>
    <row r="232" spans="2:2" x14ac:dyDescent="0.3">
      <c r="B232" s="6"/>
    </row>
    <row r="233" spans="2:2" x14ac:dyDescent="0.3">
      <c r="B233" s="6"/>
    </row>
    <row r="234" spans="2:2" x14ac:dyDescent="0.3">
      <c r="B234" s="6"/>
    </row>
    <row r="235" spans="2:2" x14ac:dyDescent="0.3">
      <c r="B235" s="6"/>
    </row>
    <row r="236" spans="2:2" x14ac:dyDescent="0.3">
      <c r="B236" s="6"/>
    </row>
    <row r="237" spans="2:2" x14ac:dyDescent="0.3">
      <c r="B237" s="6"/>
    </row>
    <row r="238" spans="2:2" x14ac:dyDescent="0.3">
      <c r="B238" s="6"/>
    </row>
    <row r="239" spans="2:2" x14ac:dyDescent="0.3">
      <c r="B239" s="6"/>
    </row>
    <row r="240" spans="2:2" x14ac:dyDescent="0.3">
      <c r="B240" s="6"/>
    </row>
    <row r="241" spans="2:2" x14ac:dyDescent="0.3">
      <c r="B241" s="6"/>
    </row>
    <row r="242" spans="2:2" x14ac:dyDescent="0.3">
      <c r="B242" s="6"/>
    </row>
    <row r="243" spans="2:2" x14ac:dyDescent="0.3">
      <c r="B243" s="6"/>
    </row>
    <row r="244" spans="2:2" x14ac:dyDescent="0.3">
      <c r="B244" s="6"/>
    </row>
    <row r="245" spans="2:2" x14ac:dyDescent="0.3">
      <c r="B245" s="6"/>
    </row>
    <row r="246" spans="2:2" x14ac:dyDescent="0.3">
      <c r="B246" s="6"/>
    </row>
    <row r="247" spans="2:2" x14ac:dyDescent="0.3">
      <c r="B247" s="6"/>
    </row>
    <row r="248" spans="2:2" x14ac:dyDescent="0.3">
      <c r="B248" s="6"/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  <row r="256" spans="2:2" x14ac:dyDescent="0.3">
      <c r="B256" s="6"/>
    </row>
  </sheetData>
  <dataValidations count="1">
    <dataValidation type="whole" allowBlank="1" showInputMessage="1" showErrorMessage="1" sqref="D2:D16379" xr:uid="{D299AA45-586B-483F-8C63-7E9A0740CB77}">
      <formula1>0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9AAA-5032-4464-B0BA-06BA21A78160}">
  <dimension ref="A1:E256"/>
  <sheetViews>
    <sheetView topLeftCell="A123" zoomScale="50" zoomScaleNormal="50" workbookViewId="0">
      <selection activeCell="B166" sqref="B166:C174"/>
    </sheetView>
  </sheetViews>
  <sheetFormatPr defaultRowHeight="15.6" x14ac:dyDescent="0.3"/>
  <cols>
    <col min="1" max="1" width="4.33203125" style="4" bestFit="1" customWidth="1"/>
    <col min="2" max="2" width="39.33203125" style="5" customWidth="1"/>
    <col min="3" max="3" width="21" style="4" customWidth="1"/>
    <col min="4" max="4" width="17" style="4" customWidth="1"/>
    <col min="5" max="5" width="17.77734375" style="4" customWidth="1"/>
  </cols>
  <sheetData>
    <row r="1" spans="1:5" x14ac:dyDescent="0.3">
      <c r="A1" s="4" t="s">
        <v>15</v>
      </c>
      <c r="B1" s="4" t="s">
        <v>6</v>
      </c>
      <c r="C1" s="4" t="s">
        <v>7</v>
      </c>
      <c r="D1" s="4" t="s">
        <v>9</v>
      </c>
      <c r="E1" s="4" t="s">
        <v>10</v>
      </c>
    </row>
    <row r="2" spans="1:5" s="9" customFormat="1" x14ac:dyDescent="0.3">
      <c r="A2" s="7">
        <v>1</v>
      </c>
      <c r="B2" s="19" t="s">
        <v>70</v>
      </c>
      <c r="C2" s="7">
        <v>4</v>
      </c>
      <c r="D2" s="7">
        <v>4</v>
      </c>
      <c r="E2" s="7" t="s">
        <v>11</v>
      </c>
    </row>
    <row r="3" spans="1:5" s="15" customFormat="1" x14ac:dyDescent="0.3">
      <c r="A3" s="13">
        <v>2</v>
      </c>
      <c r="B3" s="20" t="s">
        <v>71</v>
      </c>
      <c r="C3" s="13">
        <v>2</v>
      </c>
      <c r="D3" s="13">
        <v>3</v>
      </c>
      <c r="E3" s="13" t="s">
        <v>13</v>
      </c>
    </row>
    <row r="4" spans="1:5" s="15" customFormat="1" x14ac:dyDescent="0.3">
      <c r="A4" s="13">
        <v>3</v>
      </c>
      <c r="B4" s="20" t="s">
        <v>72</v>
      </c>
      <c r="C4" s="13">
        <v>1</v>
      </c>
      <c r="D4" s="13">
        <v>4</v>
      </c>
      <c r="E4" s="13" t="s">
        <v>13</v>
      </c>
    </row>
    <row r="5" spans="1:5" s="12" customFormat="1" x14ac:dyDescent="0.3">
      <c r="A5" s="10">
        <v>4</v>
      </c>
      <c r="B5" s="21" t="s">
        <v>73</v>
      </c>
      <c r="C5" s="10">
        <v>1</v>
      </c>
      <c r="D5" s="10">
        <v>2</v>
      </c>
      <c r="E5" s="10" t="s">
        <v>12</v>
      </c>
    </row>
    <row r="6" spans="1:5" s="12" customFormat="1" x14ac:dyDescent="0.3">
      <c r="A6" s="10">
        <v>5</v>
      </c>
      <c r="B6" s="21" t="s">
        <v>74</v>
      </c>
      <c r="C6" s="10">
        <v>1</v>
      </c>
      <c r="D6" s="10">
        <v>2</v>
      </c>
      <c r="E6" s="10" t="s">
        <v>12</v>
      </c>
    </row>
    <row r="7" spans="1:5" s="18" customFormat="1" x14ac:dyDescent="0.3">
      <c r="A7" s="16">
        <v>6</v>
      </c>
      <c r="B7" s="22" t="s">
        <v>75</v>
      </c>
      <c r="C7" s="16">
        <v>3</v>
      </c>
      <c r="D7" s="16">
        <v>1</v>
      </c>
      <c r="E7" s="16" t="s">
        <v>14</v>
      </c>
    </row>
    <row r="8" spans="1:5" s="15" customFormat="1" x14ac:dyDescent="0.3">
      <c r="A8" s="13">
        <v>7</v>
      </c>
      <c r="B8" s="20" t="s">
        <v>76</v>
      </c>
      <c r="C8" s="13">
        <v>1</v>
      </c>
      <c r="D8" s="13">
        <v>3</v>
      </c>
      <c r="E8" s="13" t="s">
        <v>13</v>
      </c>
    </row>
    <row r="9" spans="1:5" s="9" customFormat="1" x14ac:dyDescent="0.3">
      <c r="A9" s="7">
        <v>8</v>
      </c>
      <c r="B9" s="19" t="s">
        <v>77</v>
      </c>
      <c r="C9" s="7">
        <v>4</v>
      </c>
      <c r="D9" s="7">
        <v>4</v>
      </c>
      <c r="E9" s="7" t="s">
        <v>11</v>
      </c>
    </row>
    <row r="10" spans="1:5" s="9" customFormat="1" x14ac:dyDescent="0.3">
      <c r="A10" s="7">
        <v>9</v>
      </c>
      <c r="B10" s="19" t="s">
        <v>78</v>
      </c>
      <c r="C10" s="7">
        <v>4</v>
      </c>
      <c r="D10" s="7">
        <v>4</v>
      </c>
      <c r="E10" s="7" t="s">
        <v>11</v>
      </c>
    </row>
    <row r="11" spans="1:5" s="9" customFormat="1" x14ac:dyDescent="0.3">
      <c r="A11" s="7">
        <v>10</v>
      </c>
      <c r="B11" s="19" t="s">
        <v>79</v>
      </c>
      <c r="C11" s="7">
        <v>4</v>
      </c>
      <c r="D11" s="7">
        <v>4</v>
      </c>
      <c r="E11" s="7" t="s">
        <v>11</v>
      </c>
    </row>
    <row r="12" spans="1:5" s="18" customFormat="1" x14ac:dyDescent="0.3">
      <c r="A12" s="16">
        <v>11</v>
      </c>
      <c r="B12" s="22" t="s">
        <v>80</v>
      </c>
      <c r="C12" s="16">
        <v>3</v>
      </c>
      <c r="D12" s="16">
        <v>2</v>
      </c>
      <c r="E12" s="16" t="s">
        <v>14</v>
      </c>
    </row>
    <row r="13" spans="1:5" s="18" customFormat="1" x14ac:dyDescent="0.3">
      <c r="A13" s="16">
        <v>12</v>
      </c>
      <c r="B13" s="22" t="s">
        <v>81</v>
      </c>
      <c r="C13" s="16">
        <v>3</v>
      </c>
      <c r="D13" s="16">
        <v>2</v>
      </c>
      <c r="E13" s="16" t="s">
        <v>14</v>
      </c>
    </row>
    <row r="14" spans="1:5" s="9" customFormat="1" x14ac:dyDescent="0.3">
      <c r="A14" s="7">
        <v>13</v>
      </c>
      <c r="B14" s="19" t="s">
        <v>82</v>
      </c>
      <c r="C14" s="7">
        <v>3</v>
      </c>
      <c r="D14" s="7">
        <v>3</v>
      </c>
      <c r="E14" s="7" t="s">
        <v>11</v>
      </c>
    </row>
    <row r="15" spans="1:5" s="9" customFormat="1" x14ac:dyDescent="0.3">
      <c r="A15" s="7">
        <v>14</v>
      </c>
      <c r="B15" s="19" t="s">
        <v>83</v>
      </c>
      <c r="C15" s="7">
        <v>4</v>
      </c>
      <c r="D15" s="7">
        <v>3</v>
      </c>
      <c r="E15" s="7" t="s">
        <v>11</v>
      </c>
    </row>
    <row r="16" spans="1:5" s="9" customFormat="1" x14ac:dyDescent="0.3">
      <c r="A16" s="7">
        <v>15</v>
      </c>
      <c r="B16" s="19" t="s">
        <v>84</v>
      </c>
      <c r="C16" s="7">
        <v>4</v>
      </c>
      <c r="D16" s="7">
        <v>4</v>
      </c>
      <c r="E16" s="7" t="s">
        <v>11</v>
      </c>
    </row>
    <row r="17" spans="1:5" s="9" customFormat="1" x14ac:dyDescent="0.3">
      <c r="A17" s="7">
        <v>16</v>
      </c>
      <c r="B17" s="19" t="s">
        <v>85</v>
      </c>
      <c r="C17" s="7">
        <v>4</v>
      </c>
      <c r="D17" s="7">
        <v>3</v>
      </c>
      <c r="E17" s="7" t="s">
        <v>11</v>
      </c>
    </row>
    <row r="18" spans="1:5" s="12" customFormat="1" x14ac:dyDescent="0.3">
      <c r="A18" s="10">
        <v>17</v>
      </c>
      <c r="B18" s="21" t="s">
        <v>86</v>
      </c>
      <c r="C18" s="10">
        <v>1</v>
      </c>
      <c r="D18" s="10">
        <v>2</v>
      </c>
      <c r="E18" s="10" t="s">
        <v>12</v>
      </c>
    </row>
    <row r="19" spans="1:5" s="12" customFormat="1" x14ac:dyDescent="0.3">
      <c r="A19" s="10">
        <v>18</v>
      </c>
      <c r="B19" s="21" t="s">
        <v>87</v>
      </c>
      <c r="C19" s="10">
        <v>1</v>
      </c>
      <c r="D19" s="10">
        <v>2</v>
      </c>
      <c r="E19" s="10" t="s">
        <v>12</v>
      </c>
    </row>
    <row r="20" spans="1:5" s="12" customFormat="1" x14ac:dyDescent="0.3">
      <c r="A20" s="10">
        <v>19</v>
      </c>
      <c r="B20" s="21" t="s">
        <v>88</v>
      </c>
      <c r="C20" s="10">
        <v>1</v>
      </c>
      <c r="D20" s="10">
        <v>2</v>
      </c>
      <c r="E20" s="10" t="s">
        <v>12</v>
      </c>
    </row>
    <row r="21" spans="1:5" s="15" customFormat="1" x14ac:dyDescent="0.3">
      <c r="A21" s="13">
        <v>20</v>
      </c>
      <c r="B21" s="20" t="s">
        <v>89</v>
      </c>
      <c r="C21" s="13">
        <v>1</v>
      </c>
      <c r="D21" s="13">
        <v>3</v>
      </c>
      <c r="E21" s="13" t="s">
        <v>13</v>
      </c>
    </row>
    <row r="22" spans="1:5" s="12" customFormat="1" x14ac:dyDescent="0.3">
      <c r="A22" s="10">
        <v>21</v>
      </c>
      <c r="B22" s="21" t="s">
        <v>90</v>
      </c>
      <c r="C22" s="10">
        <v>1</v>
      </c>
      <c r="D22" s="10">
        <v>2</v>
      </c>
      <c r="E22" s="10" t="s">
        <v>12</v>
      </c>
    </row>
    <row r="23" spans="1:5" s="15" customFormat="1" x14ac:dyDescent="0.3">
      <c r="A23" s="13">
        <v>22</v>
      </c>
      <c r="B23" s="20" t="s">
        <v>91</v>
      </c>
      <c r="C23" s="13">
        <v>1</v>
      </c>
      <c r="D23" s="13">
        <v>4</v>
      </c>
      <c r="E23" s="13" t="s">
        <v>13</v>
      </c>
    </row>
    <row r="24" spans="1:5" s="15" customFormat="1" x14ac:dyDescent="0.3">
      <c r="A24" s="13">
        <v>23</v>
      </c>
      <c r="B24" s="20" t="s">
        <v>92</v>
      </c>
      <c r="C24" s="13">
        <v>2</v>
      </c>
      <c r="D24" s="13">
        <v>3</v>
      </c>
      <c r="E24" s="13" t="s">
        <v>13</v>
      </c>
    </row>
    <row r="25" spans="1:5" s="12" customFormat="1" x14ac:dyDescent="0.3">
      <c r="A25" s="10">
        <v>24</v>
      </c>
      <c r="B25" s="21" t="s">
        <v>93</v>
      </c>
      <c r="C25" s="10">
        <v>1</v>
      </c>
      <c r="D25" s="10">
        <v>2</v>
      </c>
      <c r="E25" s="10" t="s">
        <v>12</v>
      </c>
    </row>
    <row r="26" spans="1:5" s="12" customFormat="1" x14ac:dyDescent="0.3">
      <c r="A26" s="10">
        <v>25</v>
      </c>
      <c r="B26" s="21" t="s">
        <v>94</v>
      </c>
      <c r="C26" s="10">
        <v>1</v>
      </c>
      <c r="D26" s="10">
        <v>2</v>
      </c>
      <c r="E26" s="10" t="s">
        <v>12</v>
      </c>
    </row>
    <row r="27" spans="1:5" s="15" customFormat="1" x14ac:dyDescent="0.3">
      <c r="A27" s="13">
        <v>26</v>
      </c>
      <c r="B27" s="20" t="s">
        <v>95</v>
      </c>
      <c r="C27" s="13">
        <v>2</v>
      </c>
      <c r="D27" s="13">
        <v>3</v>
      </c>
      <c r="E27" s="13" t="s">
        <v>13</v>
      </c>
    </row>
    <row r="28" spans="1:5" s="12" customFormat="1" x14ac:dyDescent="0.3">
      <c r="A28" s="10">
        <v>27</v>
      </c>
      <c r="B28" s="21" t="s">
        <v>96</v>
      </c>
      <c r="C28" s="10">
        <v>1</v>
      </c>
      <c r="D28" s="10">
        <v>2</v>
      </c>
      <c r="E28" s="10" t="s">
        <v>12</v>
      </c>
    </row>
    <row r="29" spans="1:5" s="12" customFormat="1" x14ac:dyDescent="0.3">
      <c r="A29" s="10">
        <v>28</v>
      </c>
      <c r="B29" s="21" t="s">
        <v>97</v>
      </c>
      <c r="C29" s="10">
        <v>1</v>
      </c>
      <c r="D29" s="10">
        <v>2</v>
      </c>
      <c r="E29" s="10" t="s">
        <v>12</v>
      </c>
    </row>
    <row r="30" spans="1:5" s="12" customFormat="1" x14ac:dyDescent="0.3">
      <c r="A30" s="10">
        <v>29</v>
      </c>
      <c r="B30" s="21" t="s">
        <v>98</v>
      </c>
      <c r="C30" s="10">
        <v>1</v>
      </c>
      <c r="D30" s="10">
        <v>2</v>
      </c>
      <c r="E30" s="10" t="s">
        <v>12</v>
      </c>
    </row>
    <row r="31" spans="1:5" s="15" customFormat="1" x14ac:dyDescent="0.3">
      <c r="A31" s="13">
        <v>30</v>
      </c>
      <c r="B31" s="20" t="s">
        <v>99</v>
      </c>
      <c r="C31" s="13">
        <v>1</v>
      </c>
      <c r="D31" s="13">
        <v>3</v>
      </c>
      <c r="E31" s="13" t="s">
        <v>13</v>
      </c>
    </row>
    <row r="32" spans="1:5" s="15" customFormat="1" x14ac:dyDescent="0.3">
      <c r="A32" s="13">
        <v>31</v>
      </c>
      <c r="B32" s="20" t="s">
        <v>100</v>
      </c>
      <c r="C32" s="13">
        <v>1</v>
      </c>
      <c r="D32" s="13">
        <v>4</v>
      </c>
      <c r="E32" s="13" t="s">
        <v>13</v>
      </c>
    </row>
    <row r="33" spans="1:5" s="12" customFormat="1" x14ac:dyDescent="0.3">
      <c r="A33" s="10">
        <v>32</v>
      </c>
      <c r="B33" s="21" t="s">
        <v>101</v>
      </c>
      <c r="C33" s="10">
        <v>1</v>
      </c>
      <c r="D33" s="10">
        <v>2</v>
      </c>
      <c r="E33" s="10" t="s">
        <v>12</v>
      </c>
    </row>
    <row r="34" spans="1:5" s="15" customFormat="1" x14ac:dyDescent="0.3">
      <c r="A34" s="13">
        <v>33</v>
      </c>
      <c r="B34" s="20" t="s">
        <v>102</v>
      </c>
      <c r="C34" s="13">
        <v>1</v>
      </c>
      <c r="D34" s="13">
        <v>3</v>
      </c>
      <c r="E34" s="13" t="s">
        <v>13</v>
      </c>
    </row>
    <row r="35" spans="1:5" s="15" customFormat="1" x14ac:dyDescent="0.3">
      <c r="A35" s="13">
        <v>34</v>
      </c>
      <c r="B35" s="20" t="s">
        <v>103</v>
      </c>
      <c r="C35" s="13">
        <v>1</v>
      </c>
      <c r="D35" s="13">
        <v>4</v>
      </c>
      <c r="E35" s="13" t="s">
        <v>13</v>
      </c>
    </row>
    <row r="36" spans="1:5" s="15" customFormat="1" x14ac:dyDescent="0.3">
      <c r="A36" s="13">
        <v>35</v>
      </c>
      <c r="B36" s="20" t="s">
        <v>104</v>
      </c>
      <c r="C36" s="13">
        <v>1</v>
      </c>
      <c r="D36" s="13">
        <v>3</v>
      </c>
      <c r="E36" s="13" t="s">
        <v>13</v>
      </c>
    </row>
    <row r="37" spans="1:5" s="12" customFormat="1" x14ac:dyDescent="0.3">
      <c r="A37" s="10">
        <v>36</v>
      </c>
      <c r="B37" s="21" t="s">
        <v>105</v>
      </c>
      <c r="C37" s="10">
        <v>1</v>
      </c>
      <c r="D37" s="10">
        <v>1</v>
      </c>
      <c r="E37" s="10" t="s">
        <v>12</v>
      </c>
    </row>
    <row r="38" spans="1:5" s="15" customFormat="1" x14ac:dyDescent="0.3">
      <c r="A38" s="13">
        <v>37</v>
      </c>
      <c r="B38" s="20" t="s">
        <v>106</v>
      </c>
      <c r="C38" s="13">
        <v>1</v>
      </c>
      <c r="D38" s="13">
        <v>3</v>
      </c>
      <c r="E38" s="13" t="s">
        <v>13</v>
      </c>
    </row>
    <row r="39" spans="1:5" s="12" customFormat="1" x14ac:dyDescent="0.3">
      <c r="A39" s="10">
        <v>38</v>
      </c>
      <c r="B39" s="21" t="s">
        <v>107</v>
      </c>
      <c r="C39" s="10">
        <v>1</v>
      </c>
      <c r="D39" s="10">
        <v>2</v>
      </c>
      <c r="E39" s="10" t="s">
        <v>12</v>
      </c>
    </row>
    <row r="40" spans="1:5" s="12" customFormat="1" x14ac:dyDescent="0.3">
      <c r="A40" s="10">
        <v>39</v>
      </c>
      <c r="B40" s="21" t="s">
        <v>108</v>
      </c>
      <c r="C40" s="10">
        <v>1</v>
      </c>
      <c r="D40" s="10">
        <v>2</v>
      </c>
      <c r="E40" s="10" t="s">
        <v>12</v>
      </c>
    </row>
    <row r="41" spans="1:5" s="12" customFormat="1" x14ac:dyDescent="0.3">
      <c r="A41" s="10">
        <v>40</v>
      </c>
      <c r="B41" s="21" t="s">
        <v>109</v>
      </c>
      <c r="C41" s="10">
        <v>1</v>
      </c>
      <c r="D41" s="10">
        <v>2</v>
      </c>
      <c r="E41" s="10" t="s">
        <v>12</v>
      </c>
    </row>
    <row r="42" spans="1:5" s="12" customFormat="1" x14ac:dyDescent="0.3">
      <c r="A42" s="10">
        <v>41</v>
      </c>
      <c r="B42" s="21" t="s">
        <v>110</v>
      </c>
      <c r="C42" s="10">
        <v>2</v>
      </c>
      <c r="D42" s="10">
        <v>2</v>
      </c>
      <c r="E42" s="10" t="s">
        <v>12</v>
      </c>
    </row>
    <row r="43" spans="1:5" s="9" customFormat="1" x14ac:dyDescent="0.3">
      <c r="A43" s="7">
        <v>42</v>
      </c>
      <c r="B43" s="19" t="s">
        <v>111</v>
      </c>
      <c r="C43" s="7">
        <v>4</v>
      </c>
      <c r="D43" s="7">
        <v>4</v>
      </c>
      <c r="E43" s="7" t="s">
        <v>11</v>
      </c>
    </row>
    <row r="44" spans="1:5" s="9" customFormat="1" x14ac:dyDescent="0.3">
      <c r="A44" s="7">
        <v>43</v>
      </c>
      <c r="B44" s="19" t="s">
        <v>112</v>
      </c>
      <c r="C44" s="7">
        <v>4</v>
      </c>
      <c r="D44" s="7">
        <v>4</v>
      </c>
      <c r="E44" s="7" t="s">
        <v>11</v>
      </c>
    </row>
    <row r="45" spans="1:5" s="9" customFormat="1" x14ac:dyDescent="0.3">
      <c r="A45" s="7">
        <v>44</v>
      </c>
      <c r="B45" s="19" t="s">
        <v>113</v>
      </c>
      <c r="C45" s="7">
        <v>3</v>
      </c>
      <c r="D45" s="7">
        <v>3</v>
      </c>
      <c r="E45" s="7" t="s">
        <v>11</v>
      </c>
    </row>
    <row r="46" spans="1:5" s="15" customFormat="1" x14ac:dyDescent="0.3">
      <c r="A46" s="13">
        <v>45</v>
      </c>
      <c r="B46" s="20" t="s">
        <v>114</v>
      </c>
      <c r="C46" s="13">
        <v>2</v>
      </c>
      <c r="D46" s="13">
        <v>4</v>
      </c>
      <c r="E46" s="13" t="s">
        <v>13</v>
      </c>
    </row>
    <row r="47" spans="1:5" s="9" customFormat="1" x14ac:dyDescent="0.3">
      <c r="A47" s="7">
        <v>46</v>
      </c>
      <c r="B47" s="19" t="s">
        <v>115</v>
      </c>
      <c r="C47" s="7">
        <v>4</v>
      </c>
      <c r="D47" s="7">
        <v>4</v>
      </c>
      <c r="E47" s="7" t="s">
        <v>11</v>
      </c>
    </row>
    <row r="48" spans="1:5" s="12" customFormat="1" x14ac:dyDescent="0.3">
      <c r="A48" s="10">
        <v>47</v>
      </c>
      <c r="B48" s="21" t="s">
        <v>116</v>
      </c>
      <c r="C48" s="10">
        <v>1</v>
      </c>
      <c r="D48" s="10">
        <v>2</v>
      </c>
      <c r="E48" s="10" t="s">
        <v>12</v>
      </c>
    </row>
    <row r="49" spans="1:5" s="9" customFormat="1" x14ac:dyDescent="0.3">
      <c r="A49" s="7">
        <v>48</v>
      </c>
      <c r="B49" s="19" t="s">
        <v>117</v>
      </c>
      <c r="C49" s="7">
        <v>4</v>
      </c>
      <c r="D49" s="7">
        <v>3</v>
      </c>
      <c r="E49" s="7" t="s">
        <v>11</v>
      </c>
    </row>
    <row r="50" spans="1:5" s="15" customFormat="1" x14ac:dyDescent="0.3">
      <c r="A50" s="13">
        <v>49</v>
      </c>
      <c r="B50" s="20" t="s">
        <v>118</v>
      </c>
      <c r="C50" s="13">
        <v>2</v>
      </c>
      <c r="D50" s="13">
        <v>4</v>
      </c>
      <c r="E50" s="13" t="s">
        <v>13</v>
      </c>
    </row>
    <row r="51" spans="1:5" s="9" customFormat="1" x14ac:dyDescent="0.3">
      <c r="A51" s="7">
        <v>50</v>
      </c>
      <c r="B51" s="19" t="s">
        <v>119</v>
      </c>
      <c r="C51" s="7">
        <v>4</v>
      </c>
      <c r="D51" s="7">
        <v>4</v>
      </c>
      <c r="E51" s="7" t="s">
        <v>11</v>
      </c>
    </row>
    <row r="52" spans="1:5" s="9" customFormat="1" x14ac:dyDescent="0.3">
      <c r="A52" s="7">
        <v>51</v>
      </c>
      <c r="B52" s="19" t="s">
        <v>120</v>
      </c>
      <c r="C52" s="7">
        <v>3</v>
      </c>
      <c r="D52" s="7">
        <v>3</v>
      </c>
      <c r="E52" s="7" t="s">
        <v>11</v>
      </c>
    </row>
    <row r="53" spans="1:5" s="9" customFormat="1" x14ac:dyDescent="0.3">
      <c r="A53" s="7">
        <v>52</v>
      </c>
      <c r="B53" s="19" t="s">
        <v>121</v>
      </c>
      <c r="C53" s="7">
        <v>3</v>
      </c>
      <c r="D53" s="7">
        <v>4</v>
      </c>
      <c r="E53" s="7" t="s">
        <v>11</v>
      </c>
    </row>
    <row r="54" spans="1:5" s="9" customFormat="1" x14ac:dyDescent="0.3">
      <c r="A54" s="7">
        <v>53</v>
      </c>
      <c r="B54" s="19" t="s">
        <v>122</v>
      </c>
      <c r="C54" s="7">
        <v>4</v>
      </c>
      <c r="D54" s="7">
        <v>3</v>
      </c>
      <c r="E54" s="7" t="s">
        <v>11</v>
      </c>
    </row>
    <row r="55" spans="1:5" s="9" customFormat="1" x14ac:dyDescent="0.3">
      <c r="A55" s="7">
        <v>54</v>
      </c>
      <c r="B55" s="19" t="s">
        <v>123</v>
      </c>
      <c r="C55" s="7">
        <v>4</v>
      </c>
      <c r="D55" s="7">
        <v>3</v>
      </c>
      <c r="E55" s="7" t="s">
        <v>11</v>
      </c>
    </row>
    <row r="56" spans="1:5" s="9" customFormat="1" x14ac:dyDescent="0.3">
      <c r="A56" s="7">
        <v>55</v>
      </c>
      <c r="B56" s="19" t="s">
        <v>124</v>
      </c>
      <c r="C56" s="7">
        <v>4</v>
      </c>
      <c r="D56" s="7">
        <v>3</v>
      </c>
      <c r="E56" s="7" t="s">
        <v>11</v>
      </c>
    </row>
    <row r="57" spans="1:5" s="9" customFormat="1" x14ac:dyDescent="0.3">
      <c r="A57" s="7">
        <v>56</v>
      </c>
      <c r="B57" s="19" t="s">
        <v>125</v>
      </c>
      <c r="C57" s="7">
        <v>3</v>
      </c>
      <c r="D57" s="7">
        <v>3</v>
      </c>
      <c r="E57" s="7" t="s">
        <v>11</v>
      </c>
    </row>
    <row r="58" spans="1:5" s="9" customFormat="1" x14ac:dyDescent="0.3">
      <c r="A58" s="7">
        <v>57</v>
      </c>
      <c r="B58" s="19" t="s">
        <v>126</v>
      </c>
      <c r="C58" s="7">
        <v>4</v>
      </c>
      <c r="D58" s="7">
        <v>4</v>
      </c>
      <c r="E58" s="7" t="s">
        <v>11</v>
      </c>
    </row>
    <row r="59" spans="1:5" s="12" customFormat="1" x14ac:dyDescent="0.3">
      <c r="A59" s="10">
        <v>58</v>
      </c>
      <c r="B59" s="21" t="s">
        <v>127</v>
      </c>
      <c r="C59" s="10">
        <v>1</v>
      </c>
      <c r="D59" s="10">
        <v>1</v>
      </c>
      <c r="E59" s="10" t="s">
        <v>12</v>
      </c>
    </row>
    <row r="60" spans="1:5" s="9" customFormat="1" x14ac:dyDescent="0.3">
      <c r="A60" s="7">
        <v>59</v>
      </c>
      <c r="B60" s="19" t="s">
        <v>128</v>
      </c>
      <c r="C60" s="7">
        <v>3</v>
      </c>
      <c r="D60" s="7">
        <v>3</v>
      </c>
      <c r="E60" s="7" t="s">
        <v>11</v>
      </c>
    </row>
    <row r="61" spans="1:5" s="15" customFormat="1" x14ac:dyDescent="0.3">
      <c r="A61" s="13">
        <v>60</v>
      </c>
      <c r="B61" s="20" t="s">
        <v>129</v>
      </c>
      <c r="C61" s="13">
        <v>1</v>
      </c>
      <c r="D61" s="13">
        <v>3</v>
      </c>
      <c r="E61" s="13" t="s">
        <v>13</v>
      </c>
    </row>
    <row r="62" spans="1:5" s="9" customFormat="1" x14ac:dyDescent="0.3">
      <c r="A62" s="7">
        <v>61</v>
      </c>
      <c r="B62" s="19" t="s">
        <v>130</v>
      </c>
      <c r="C62" s="7">
        <v>3</v>
      </c>
      <c r="D62" s="7">
        <v>3</v>
      </c>
      <c r="E62" s="7" t="s">
        <v>11</v>
      </c>
    </row>
    <row r="63" spans="1:5" s="9" customFormat="1" x14ac:dyDescent="0.3">
      <c r="A63" s="7">
        <v>62</v>
      </c>
      <c r="B63" s="19" t="s">
        <v>131</v>
      </c>
      <c r="C63" s="7">
        <v>3</v>
      </c>
      <c r="D63" s="7">
        <v>4</v>
      </c>
      <c r="E63" s="7" t="s">
        <v>11</v>
      </c>
    </row>
    <row r="64" spans="1:5" s="9" customFormat="1" x14ac:dyDescent="0.3">
      <c r="A64" s="7">
        <v>63</v>
      </c>
      <c r="B64" s="19" t="s">
        <v>132</v>
      </c>
      <c r="C64" s="7">
        <v>3</v>
      </c>
      <c r="D64" s="7">
        <v>3</v>
      </c>
      <c r="E64" s="7" t="s">
        <v>11</v>
      </c>
    </row>
    <row r="65" spans="1:5" s="9" customFormat="1" x14ac:dyDescent="0.3">
      <c r="A65" s="7">
        <v>64</v>
      </c>
      <c r="B65" s="19" t="s">
        <v>133</v>
      </c>
      <c r="C65" s="7">
        <v>3</v>
      </c>
      <c r="D65" s="7">
        <v>4</v>
      </c>
      <c r="E65" s="7" t="s">
        <v>11</v>
      </c>
    </row>
    <row r="66" spans="1:5" s="9" customFormat="1" x14ac:dyDescent="0.3">
      <c r="A66" s="7">
        <v>65</v>
      </c>
      <c r="B66" s="19" t="s">
        <v>134</v>
      </c>
      <c r="C66" s="7">
        <v>3</v>
      </c>
      <c r="D66" s="7">
        <v>3</v>
      </c>
      <c r="E66" s="7" t="s">
        <v>11</v>
      </c>
    </row>
    <row r="67" spans="1:5" s="9" customFormat="1" x14ac:dyDescent="0.3">
      <c r="A67" s="7">
        <v>66</v>
      </c>
      <c r="B67" s="19" t="s">
        <v>135</v>
      </c>
      <c r="C67" s="7">
        <v>3</v>
      </c>
      <c r="D67" s="7">
        <v>4</v>
      </c>
      <c r="E67" s="7" t="s">
        <v>11</v>
      </c>
    </row>
    <row r="68" spans="1:5" s="9" customFormat="1" x14ac:dyDescent="0.3">
      <c r="A68" s="7">
        <v>67</v>
      </c>
      <c r="B68" s="19" t="s">
        <v>136</v>
      </c>
      <c r="C68" s="7">
        <v>3</v>
      </c>
      <c r="D68" s="7">
        <v>4</v>
      </c>
      <c r="E68" s="7" t="s">
        <v>11</v>
      </c>
    </row>
    <row r="69" spans="1:5" s="9" customFormat="1" x14ac:dyDescent="0.3">
      <c r="A69" s="7">
        <v>68</v>
      </c>
      <c r="B69" s="19" t="s">
        <v>137</v>
      </c>
      <c r="C69" s="7">
        <v>3</v>
      </c>
      <c r="D69" s="7">
        <v>3</v>
      </c>
      <c r="E69" s="7" t="s">
        <v>11</v>
      </c>
    </row>
    <row r="70" spans="1:5" s="9" customFormat="1" x14ac:dyDescent="0.3">
      <c r="A70" s="7">
        <v>69</v>
      </c>
      <c r="B70" s="19" t="s">
        <v>138</v>
      </c>
      <c r="C70" s="7">
        <v>3</v>
      </c>
      <c r="D70" s="7">
        <v>3</v>
      </c>
      <c r="E70" s="7" t="s">
        <v>11</v>
      </c>
    </row>
    <row r="71" spans="1:5" s="9" customFormat="1" x14ac:dyDescent="0.3">
      <c r="A71" s="7">
        <v>70</v>
      </c>
      <c r="B71" s="19" t="s">
        <v>139</v>
      </c>
      <c r="C71" s="7">
        <v>3</v>
      </c>
      <c r="D71" s="7">
        <v>3</v>
      </c>
      <c r="E71" s="7" t="s">
        <v>11</v>
      </c>
    </row>
    <row r="72" spans="1:5" s="9" customFormat="1" x14ac:dyDescent="0.3">
      <c r="A72" s="7">
        <v>71</v>
      </c>
      <c r="B72" s="19" t="s">
        <v>140</v>
      </c>
      <c r="C72" s="7">
        <v>3</v>
      </c>
      <c r="D72" s="7">
        <v>3</v>
      </c>
      <c r="E72" s="7" t="s">
        <v>11</v>
      </c>
    </row>
    <row r="73" spans="1:5" s="18" customFormat="1" x14ac:dyDescent="0.3">
      <c r="A73" s="16">
        <v>72</v>
      </c>
      <c r="B73" s="22" t="s">
        <v>141</v>
      </c>
      <c r="C73" s="16">
        <v>3</v>
      </c>
      <c r="D73" s="16">
        <v>2</v>
      </c>
      <c r="E73" s="16" t="s">
        <v>14</v>
      </c>
    </row>
    <row r="74" spans="1:5" s="18" customFormat="1" x14ac:dyDescent="0.3">
      <c r="A74" s="16">
        <v>73</v>
      </c>
      <c r="B74" s="22" t="s">
        <v>142</v>
      </c>
      <c r="C74" s="16">
        <v>3</v>
      </c>
      <c r="D74" s="16">
        <v>2</v>
      </c>
      <c r="E74" s="16" t="s">
        <v>14</v>
      </c>
    </row>
    <row r="75" spans="1:5" s="9" customFormat="1" x14ac:dyDescent="0.3">
      <c r="A75" s="7">
        <v>74</v>
      </c>
      <c r="B75" s="19" t="s">
        <v>143</v>
      </c>
      <c r="C75" s="7">
        <v>3</v>
      </c>
      <c r="D75" s="7">
        <v>3</v>
      </c>
      <c r="E75" s="7" t="s">
        <v>11</v>
      </c>
    </row>
    <row r="76" spans="1:5" s="9" customFormat="1" x14ac:dyDescent="0.3">
      <c r="A76" s="7">
        <v>75</v>
      </c>
      <c r="B76" s="19" t="s">
        <v>144</v>
      </c>
      <c r="C76" s="7">
        <v>3</v>
      </c>
      <c r="D76" s="7">
        <v>3</v>
      </c>
      <c r="E76" s="7" t="s">
        <v>11</v>
      </c>
    </row>
    <row r="77" spans="1:5" s="9" customFormat="1" x14ac:dyDescent="0.3">
      <c r="A77" s="7">
        <v>76</v>
      </c>
      <c r="B77" s="19" t="s">
        <v>145</v>
      </c>
      <c r="C77" s="7">
        <v>3</v>
      </c>
      <c r="D77" s="7">
        <v>3</v>
      </c>
      <c r="E77" s="7" t="s">
        <v>11</v>
      </c>
    </row>
    <row r="78" spans="1:5" s="9" customFormat="1" x14ac:dyDescent="0.3">
      <c r="A78" s="7">
        <v>77</v>
      </c>
      <c r="B78" s="19" t="s">
        <v>146</v>
      </c>
      <c r="C78" s="7">
        <v>3</v>
      </c>
      <c r="D78" s="7">
        <v>3</v>
      </c>
      <c r="E78" s="7" t="s">
        <v>11</v>
      </c>
    </row>
    <row r="79" spans="1:5" s="9" customFormat="1" x14ac:dyDescent="0.3">
      <c r="A79" s="7">
        <v>78</v>
      </c>
      <c r="B79" s="19" t="s">
        <v>147</v>
      </c>
      <c r="C79" s="7">
        <v>3</v>
      </c>
      <c r="D79" s="7">
        <v>3</v>
      </c>
      <c r="E79" s="7" t="s">
        <v>11</v>
      </c>
    </row>
    <row r="80" spans="1:5" s="9" customFormat="1" x14ac:dyDescent="0.3">
      <c r="A80" s="7">
        <v>79</v>
      </c>
      <c r="B80" s="19" t="s">
        <v>148</v>
      </c>
      <c r="C80" s="7">
        <v>3</v>
      </c>
      <c r="D80" s="7">
        <v>3</v>
      </c>
      <c r="E80" s="7" t="s">
        <v>11</v>
      </c>
    </row>
    <row r="81" spans="1:5" s="9" customFormat="1" x14ac:dyDescent="0.3">
      <c r="A81" s="7">
        <v>80</v>
      </c>
      <c r="B81" s="19" t="s">
        <v>149</v>
      </c>
      <c r="C81" s="7">
        <v>3</v>
      </c>
      <c r="D81" s="7">
        <v>3</v>
      </c>
      <c r="E81" s="7" t="s">
        <v>11</v>
      </c>
    </row>
    <row r="82" spans="1:5" s="9" customFormat="1" x14ac:dyDescent="0.3">
      <c r="A82" s="7">
        <v>81</v>
      </c>
      <c r="B82" s="19" t="s">
        <v>150</v>
      </c>
      <c r="C82" s="7">
        <v>3</v>
      </c>
      <c r="D82" s="7">
        <v>3</v>
      </c>
      <c r="E82" s="7" t="s">
        <v>11</v>
      </c>
    </row>
    <row r="83" spans="1:5" s="9" customFormat="1" x14ac:dyDescent="0.3">
      <c r="A83" s="7">
        <v>82</v>
      </c>
      <c r="B83" s="19" t="s">
        <v>151</v>
      </c>
      <c r="C83" s="7">
        <v>4</v>
      </c>
      <c r="D83" s="7">
        <v>4</v>
      </c>
      <c r="E83" s="7" t="s">
        <v>11</v>
      </c>
    </row>
    <row r="84" spans="1:5" s="9" customFormat="1" x14ac:dyDescent="0.3">
      <c r="A84" s="7">
        <v>83</v>
      </c>
      <c r="B84" s="19" t="s">
        <v>152</v>
      </c>
      <c r="C84" s="7">
        <v>3</v>
      </c>
      <c r="D84" s="7">
        <v>3</v>
      </c>
      <c r="E84" s="7" t="s">
        <v>11</v>
      </c>
    </row>
    <row r="85" spans="1:5" s="9" customFormat="1" x14ac:dyDescent="0.3">
      <c r="A85" s="7">
        <v>84</v>
      </c>
      <c r="B85" s="19" t="s">
        <v>153</v>
      </c>
      <c r="C85" s="7">
        <v>3</v>
      </c>
      <c r="D85" s="7">
        <v>3</v>
      </c>
      <c r="E85" s="7" t="s">
        <v>11</v>
      </c>
    </row>
    <row r="86" spans="1:5" s="9" customFormat="1" x14ac:dyDescent="0.3">
      <c r="A86" s="7">
        <v>85</v>
      </c>
      <c r="B86" s="19" t="s">
        <v>154</v>
      </c>
      <c r="C86" s="7">
        <v>3</v>
      </c>
      <c r="D86" s="7">
        <v>3</v>
      </c>
      <c r="E86" s="7" t="s">
        <v>11</v>
      </c>
    </row>
    <row r="87" spans="1:5" s="12" customFormat="1" x14ac:dyDescent="0.3">
      <c r="A87" s="10">
        <v>86</v>
      </c>
      <c r="B87" s="21" t="s">
        <v>155</v>
      </c>
      <c r="C87" s="10">
        <v>1</v>
      </c>
      <c r="D87" s="10">
        <v>2</v>
      </c>
      <c r="E87" s="10" t="s">
        <v>12</v>
      </c>
    </row>
    <row r="88" spans="1:5" s="18" customFormat="1" x14ac:dyDescent="0.3">
      <c r="A88" s="16">
        <v>87</v>
      </c>
      <c r="B88" s="22" t="s">
        <v>156</v>
      </c>
      <c r="C88" s="16">
        <v>3</v>
      </c>
      <c r="D88" s="16">
        <v>2</v>
      </c>
      <c r="E88" s="16" t="s">
        <v>14</v>
      </c>
    </row>
    <row r="89" spans="1:5" s="18" customFormat="1" x14ac:dyDescent="0.3">
      <c r="A89" s="16">
        <v>88</v>
      </c>
      <c r="B89" s="22" t="s">
        <v>157</v>
      </c>
      <c r="C89" s="16">
        <v>3</v>
      </c>
      <c r="D89" s="16">
        <v>2</v>
      </c>
      <c r="E89" s="16" t="s">
        <v>14</v>
      </c>
    </row>
    <row r="90" spans="1:5" s="9" customFormat="1" x14ac:dyDescent="0.3">
      <c r="A90" s="7">
        <v>89</v>
      </c>
      <c r="B90" s="19" t="s">
        <v>158</v>
      </c>
      <c r="C90" s="7">
        <v>3</v>
      </c>
      <c r="D90" s="7">
        <v>3</v>
      </c>
      <c r="E90" s="7" t="s">
        <v>11</v>
      </c>
    </row>
    <row r="91" spans="1:5" s="18" customFormat="1" x14ac:dyDescent="0.3">
      <c r="A91" s="16">
        <v>90</v>
      </c>
      <c r="B91" s="22" t="s">
        <v>159</v>
      </c>
      <c r="C91" s="16">
        <v>3</v>
      </c>
      <c r="D91" s="16">
        <v>2</v>
      </c>
      <c r="E91" s="16" t="s">
        <v>14</v>
      </c>
    </row>
    <row r="92" spans="1:5" s="9" customFormat="1" x14ac:dyDescent="0.3">
      <c r="A92" s="7">
        <v>91</v>
      </c>
      <c r="B92" s="19" t="s">
        <v>160</v>
      </c>
      <c r="C92" s="7">
        <v>3</v>
      </c>
      <c r="D92" s="7">
        <v>3</v>
      </c>
      <c r="E92" s="7" t="s">
        <v>11</v>
      </c>
    </row>
    <row r="93" spans="1:5" s="18" customFormat="1" x14ac:dyDescent="0.3">
      <c r="A93" s="16">
        <v>92</v>
      </c>
      <c r="B93" s="22" t="s">
        <v>161</v>
      </c>
      <c r="C93" s="16">
        <v>3</v>
      </c>
      <c r="D93" s="16">
        <v>2</v>
      </c>
      <c r="E93" s="16" t="s">
        <v>14</v>
      </c>
    </row>
    <row r="94" spans="1:5" s="9" customFormat="1" x14ac:dyDescent="0.3">
      <c r="A94" s="7">
        <v>93</v>
      </c>
      <c r="B94" s="19" t="s">
        <v>162</v>
      </c>
      <c r="C94" s="7">
        <v>3</v>
      </c>
      <c r="D94" s="7">
        <v>3</v>
      </c>
      <c r="E94" s="7" t="s">
        <v>11</v>
      </c>
    </row>
    <row r="95" spans="1:5" s="9" customFormat="1" x14ac:dyDescent="0.3">
      <c r="A95" s="7">
        <v>94</v>
      </c>
      <c r="B95" s="19" t="s">
        <v>163</v>
      </c>
      <c r="C95" s="7">
        <v>3</v>
      </c>
      <c r="D95" s="7">
        <v>3</v>
      </c>
      <c r="E95" s="7" t="s">
        <v>11</v>
      </c>
    </row>
    <row r="96" spans="1:5" s="9" customFormat="1" x14ac:dyDescent="0.3">
      <c r="A96" s="7">
        <v>95</v>
      </c>
      <c r="B96" s="19" t="s">
        <v>164</v>
      </c>
      <c r="C96" s="7">
        <v>3</v>
      </c>
      <c r="D96" s="7">
        <v>3</v>
      </c>
      <c r="E96" s="7" t="s">
        <v>11</v>
      </c>
    </row>
    <row r="97" spans="1:5" s="9" customFormat="1" x14ac:dyDescent="0.3">
      <c r="A97" s="7">
        <v>96</v>
      </c>
      <c r="B97" s="19" t="s">
        <v>165</v>
      </c>
      <c r="C97" s="7">
        <v>3</v>
      </c>
      <c r="D97" s="7">
        <v>3</v>
      </c>
      <c r="E97" s="7" t="s">
        <v>11</v>
      </c>
    </row>
    <row r="98" spans="1:5" s="12" customFormat="1" x14ac:dyDescent="0.3">
      <c r="A98" s="10">
        <v>97</v>
      </c>
      <c r="B98" s="21" t="s">
        <v>166</v>
      </c>
      <c r="C98" s="10">
        <v>1</v>
      </c>
      <c r="D98" s="10">
        <v>2</v>
      </c>
      <c r="E98" s="10" t="s">
        <v>12</v>
      </c>
    </row>
    <row r="99" spans="1:5" s="12" customFormat="1" x14ac:dyDescent="0.3">
      <c r="A99" s="10">
        <v>98</v>
      </c>
      <c r="B99" s="21" t="s">
        <v>167</v>
      </c>
      <c r="C99" s="10">
        <v>1</v>
      </c>
      <c r="D99" s="10">
        <v>1</v>
      </c>
      <c r="E99" s="10" t="s">
        <v>12</v>
      </c>
    </row>
    <row r="100" spans="1:5" s="12" customFormat="1" x14ac:dyDescent="0.3">
      <c r="A100" s="10">
        <v>99</v>
      </c>
      <c r="B100" s="21" t="s">
        <v>168</v>
      </c>
      <c r="C100" s="10">
        <v>1</v>
      </c>
      <c r="D100" s="10">
        <v>1</v>
      </c>
      <c r="E100" s="10" t="s">
        <v>12</v>
      </c>
    </row>
    <row r="101" spans="1:5" s="9" customFormat="1" x14ac:dyDescent="0.3">
      <c r="A101" s="7">
        <v>100</v>
      </c>
      <c r="B101" s="19" t="s">
        <v>169</v>
      </c>
      <c r="C101" s="7">
        <v>3</v>
      </c>
      <c r="D101" s="7">
        <v>4</v>
      </c>
      <c r="E101" s="7" t="s">
        <v>11</v>
      </c>
    </row>
    <row r="102" spans="1:5" s="12" customFormat="1" x14ac:dyDescent="0.3">
      <c r="A102" s="10">
        <v>101</v>
      </c>
      <c r="B102" s="21" t="s">
        <v>170</v>
      </c>
      <c r="C102" s="10">
        <v>1</v>
      </c>
      <c r="D102" s="10">
        <v>2</v>
      </c>
      <c r="E102" s="10" t="s">
        <v>12</v>
      </c>
    </row>
    <row r="103" spans="1:5" s="15" customFormat="1" x14ac:dyDescent="0.3">
      <c r="A103" s="13">
        <v>102</v>
      </c>
      <c r="B103" s="20" t="s">
        <v>171</v>
      </c>
      <c r="C103" s="13">
        <v>1</v>
      </c>
      <c r="D103" s="13">
        <v>3</v>
      </c>
      <c r="E103" s="13" t="s">
        <v>13</v>
      </c>
    </row>
    <row r="104" spans="1:5" s="12" customFormat="1" x14ac:dyDescent="0.3">
      <c r="A104" s="10">
        <v>103</v>
      </c>
      <c r="B104" s="21" t="s">
        <v>172</v>
      </c>
      <c r="C104" s="10">
        <v>1</v>
      </c>
      <c r="D104" s="10">
        <v>2</v>
      </c>
      <c r="E104" s="10" t="s">
        <v>12</v>
      </c>
    </row>
    <row r="105" spans="1:5" s="9" customFormat="1" x14ac:dyDescent="0.3">
      <c r="A105" s="7">
        <v>104</v>
      </c>
      <c r="B105" s="19" t="s">
        <v>173</v>
      </c>
      <c r="C105" s="7">
        <v>3</v>
      </c>
      <c r="D105" s="7">
        <v>4</v>
      </c>
      <c r="E105" s="7" t="s">
        <v>11</v>
      </c>
    </row>
    <row r="106" spans="1:5" s="9" customFormat="1" x14ac:dyDescent="0.3">
      <c r="A106" s="7">
        <v>105</v>
      </c>
      <c r="B106" s="19" t="s">
        <v>174</v>
      </c>
      <c r="C106" s="7">
        <v>3</v>
      </c>
      <c r="D106" s="7">
        <v>4</v>
      </c>
      <c r="E106" s="7" t="s">
        <v>11</v>
      </c>
    </row>
    <row r="107" spans="1:5" s="12" customFormat="1" x14ac:dyDescent="0.3">
      <c r="A107" s="10">
        <v>106</v>
      </c>
      <c r="B107" s="21" t="s">
        <v>175</v>
      </c>
      <c r="C107" s="10">
        <v>1</v>
      </c>
      <c r="D107" s="10">
        <v>2</v>
      </c>
      <c r="E107" s="10" t="s">
        <v>12</v>
      </c>
    </row>
    <row r="108" spans="1:5" s="9" customFormat="1" x14ac:dyDescent="0.3">
      <c r="A108" s="7">
        <v>107</v>
      </c>
      <c r="B108" s="19" t="s">
        <v>176</v>
      </c>
      <c r="C108" s="7">
        <v>3</v>
      </c>
      <c r="D108" s="7">
        <v>3</v>
      </c>
      <c r="E108" s="7" t="s">
        <v>11</v>
      </c>
    </row>
    <row r="109" spans="1:5" s="18" customFormat="1" x14ac:dyDescent="0.3">
      <c r="A109" s="16">
        <v>108</v>
      </c>
      <c r="B109" s="22" t="s">
        <v>177</v>
      </c>
      <c r="C109" s="16">
        <v>3</v>
      </c>
      <c r="D109" s="16">
        <v>2</v>
      </c>
      <c r="E109" s="16" t="s">
        <v>14</v>
      </c>
    </row>
    <row r="110" spans="1:5" s="18" customFormat="1" x14ac:dyDescent="0.3">
      <c r="A110" s="16">
        <v>109</v>
      </c>
      <c r="B110" s="22" t="s">
        <v>178</v>
      </c>
      <c r="C110" s="16">
        <v>3</v>
      </c>
      <c r="D110" s="16">
        <v>2</v>
      </c>
      <c r="E110" s="16" t="s">
        <v>14</v>
      </c>
    </row>
    <row r="111" spans="1:5" s="9" customFormat="1" x14ac:dyDescent="0.3">
      <c r="A111" s="7">
        <v>110</v>
      </c>
      <c r="B111" s="19" t="s">
        <v>179</v>
      </c>
      <c r="C111" s="7">
        <v>3</v>
      </c>
      <c r="D111" s="7">
        <v>3</v>
      </c>
      <c r="E111" s="7" t="s">
        <v>11</v>
      </c>
    </row>
    <row r="112" spans="1:5" s="15" customFormat="1" x14ac:dyDescent="0.3">
      <c r="A112" s="13">
        <v>111</v>
      </c>
      <c r="B112" s="20" t="s">
        <v>180</v>
      </c>
      <c r="C112" s="13">
        <v>1</v>
      </c>
      <c r="D112" s="13">
        <v>3</v>
      </c>
      <c r="E112" s="13" t="s">
        <v>13</v>
      </c>
    </row>
    <row r="113" spans="1:5" s="9" customFormat="1" x14ac:dyDescent="0.3">
      <c r="A113" s="7">
        <v>112</v>
      </c>
      <c r="B113" s="19" t="s">
        <v>232</v>
      </c>
      <c r="C113" s="7">
        <v>4</v>
      </c>
      <c r="D113" s="7">
        <v>3</v>
      </c>
      <c r="E113" s="7" t="s">
        <v>11</v>
      </c>
    </row>
    <row r="114" spans="1:5" s="9" customFormat="1" x14ac:dyDescent="0.3">
      <c r="A114" s="7">
        <v>113</v>
      </c>
      <c r="B114" s="19" t="s">
        <v>181</v>
      </c>
      <c r="C114" s="7">
        <v>4</v>
      </c>
      <c r="D114" s="7">
        <v>4</v>
      </c>
      <c r="E114" s="7" t="s">
        <v>11</v>
      </c>
    </row>
    <row r="115" spans="1:5" s="9" customFormat="1" x14ac:dyDescent="0.3">
      <c r="A115" s="7">
        <v>114</v>
      </c>
      <c r="B115" s="19" t="s">
        <v>182</v>
      </c>
      <c r="C115" s="7">
        <v>4</v>
      </c>
      <c r="D115" s="7">
        <v>4</v>
      </c>
      <c r="E115" s="7" t="s">
        <v>11</v>
      </c>
    </row>
    <row r="116" spans="1:5" s="9" customFormat="1" x14ac:dyDescent="0.3">
      <c r="A116" s="7">
        <v>115</v>
      </c>
      <c r="B116" s="19" t="s">
        <v>183</v>
      </c>
      <c r="C116" s="7">
        <v>3</v>
      </c>
      <c r="D116" s="7">
        <v>4</v>
      </c>
      <c r="E116" s="7" t="s">
        <v>11</v>
      </c>
    </row>
    <row r="117" spans="1:5" s="9" customFormat="1" x14ac:dyDescent="0.3">
      <c r="A117" s="7">
        <v>116</v>
      </c>
      <c r="B117" s="19" t="s">
        <v>184</v>
      </c>
      <c r="C117" s="7">
        <v>3</v>
      </c>
      <c r="D117" s="7">
        <v>4</v>
      </c>
      <c r="E117" s="7" t="s">
        <v>11</v>
      </c>
    </row>
    <row r="118" spans="1:5" s="9" customFormat="1" x14ac:dyDescent="0.3">
      <c r="A118" s="7">
        <v>117</v>
      </c>
      <c r="B118" s="19" t="s">
        <v>185</v>
      </c>
      <c r="C118" s="7">
        <v>3</v>
      </c>
      <c r="D118" s="7">
        <v>3</v>
      </c>
      <c r="E118" s="7" t="s">
        <v>11</v>
      </c>
    </row>
    <row r="119" spans="1:5" s="9" customFormat="1" x14ac:dyDescent="0.3">
      <c r="A119" s="7">
        <v>118</v>
      </c>
      <c r="B119" s="19" t="s">
        <v>186</v>
      </c>
      <c r="C119" s="7">
        <v>3</v>
      </c>
      <c r="D119" s="7">
        <v>3</v>
      </c>
      <c r="E119" s="7" t="s">
        <v>11</v>
      </c>
    </row>
    <row r="120" spans="1:5" s="9" customFormat="1" x14ac:dyDescent="0.3">
      <c r="A120" s="7">
        <v>119</v>
      </c>
      <c r="B120" s="19" t="s">
        <v>187</v>
      </c>
      <c r="C120" s="7">
        <v>3</v>
      </c>
      <c r="D120" s="7">
        <v>3</v>
      </c>
      <c r="E120" s="7" t="s">
        <v>11</v>
      </c>
    </row>
    <row r="121" spans="1:5" s="9" customFormat="1" x14ac:dyDescent="0.3">
      <c r="A121" s="7">
        <v>120</v>
      </c>
      <c r="B121" s="19" t="s">
        <v>188</v>
      </c>
      <c r="C121" s="7">
        <v>3</v>
      </c>
      <c r="D121" s="7">
        <v>3</v>
      </c>
      <c r="E121" s="7" t="s">
        <v>11</v>
      </c>
    </row>
    <row r="122" spans="1:5" s="18" customFormat="1" x14ac:dyDescent="0.3">
      <c r="A122" s="16">
        <v>121</v>
      </c>
      <c r="B122" s="22" t="s">
        <v>189</v>
      </c>
      <c r="C122" s="16">
        <v>3</v>
      </c>
      <c r="D122" s="16">
        <v>1</v>
      </c>
      <c r="E122" s="16" t="s">
        <v>14</v>
      </c>
    </row>
    <row r="123" spans="1:5" s="9" customFormat="1" x14ac:dyDescent="0.3">
      <c r="A123" s="7">
        <v>122</v>
      </c>
      <c r="B123" s="19" t="s">
        <v>190</v>
      </c>
      <c r="C123" s="7">
        <v>3</v>
      </c>
      <c r="D123" s="7">
        <v>3</v>
      </c>
      <c r="E123" s="7" t="s">
        <v>11</v>
      </c>
    </row>
    <row r="124" spans="1:5" s="9" customFormat="1" x14ac:dyDescent="0.3">
      <c r="A124" s="7">
        <v>123</v>
      </c>
      <c r="B124" s="19" t="s">
        <v>191</v>
      </c>
      <c r="C124" s="7">
        <v>3</v>
      </c>
      <c r="D124" s="7">
        <v>3</v>
      </c>
      <c r="E124" s="7" t="s">
        <v>11</v>
      </c>
    </row>
    <row r="125" spans="1:5" s="9" customFormat="1" x14ac:dyDescent="0.3">
      <c r="A125" s="7">
        <v>124</v>
      </c>
      <c r="B125" s="19" t="s">
        <v>192</v>
      </c>
      <c r="C125" s="7">
        <v>3</v>
      </c>
      <c r="D125" s="7">
        <v>4</v>
      </c>
      <c r="E125" s="7" t="s">
        <v>11</v>
      </c>
    </row>
    <row r="126" spans="1:5" s="9" customFormat="1" x14ac:dyDescent="0.3">
      <c r="A126" s="7">
        <v>125</v>
      </c>
      <c r="B126" s="19" t="s">
        <v>193</v>
      </c>
      <c r="C126" s="7">
        <v>3</v>
      </c>
      <c r="D126" s="7">
        <v>3</v>
      </c>
      <c r="E126" s="7" t="s">
        <v>11</v>
      </c>
    </row>
    <row r="127" spans="1:5" s="9" customFormat="1" x14ac:dyDescent="0.3">
      <c r="A127" s="7">
        <v>126</v>
      </c>
      <c r="B127" s="19" t="s">
        <v>194</v>
      </c>
      <c r="C127" s="7">
        <v>3</v>
      </c>
      <c r="D127" s="7">
        <v>4</v>
      </c>
      <c r="E127" s="7" t="s">
        <v>11</v>
      </c>
    </row>
    <row r="128" spans="1:5" s="12" customFormat="1" x14ac:dyDescent="0.3">
      <c r="A128" s="10">
        <v>127</v>
      </c>
      <c r="B128" s="21" t="s">
        <v>195</v>
      </c>
      <c r="C128" s="10">
        <v>1</v>
      </c>
      <c r="D128" s="10">
        <v>2</v>
      </c>
      <c r="E128" s="10" t="s">
        <v>12</v>
      </c>
    </row>
    <row r="129" spans="1:5" s="15" customFormat="1" x14ac:dyDescent="0.3">
      <c r="A129" s="13">
        <v>128</v>
      </c>
      <c r="B129" s="20" t="s">
        <v>196</v>
      </c>
      <c r="C129" s="13">
        <v>1</v>
      </c>
      <c r="D129" s="13">
        <v>3</v>
      </c>
      <c r="E129" s="13" t="s">
        <v>13</v>
      </c>
    </row>
    <row r="130" spans="1:5" s="15" customFormat="1" x14ac:dyDescent="0.3">
      <c r="A130" s="13">
        <v>129</v>
      </c>
      <c r="B130" s="20" t="s">
        <v>197</v>
      </c>
      <c r="C130" s="13">
        <v>1</v>
      </c>
      <c r="D130" s="13">
        <v>3</v>
      </c>
      <c r="E130" s="13" t="s">
        <v>13</v>
      </c>
    </row>
    <row r="131" spans="1:5" s="15" customFormat="1" x14ac:dyDescent="0.3">
      <c r="A131" s="13">
        <v>130</v>
      </c>
      <c r="B131" s="20" t="s">
        <v>198</v>
      </c>
      <c r="C131" s="13">
        <v>1</v>
      </c>
      <c r="D131" s="13">
        <v>3</v>
      </c>
      <c r="E131" s="13" t="s">
        <v>13</v>
      </c>
    </row>
    <row r="132" spans="1:5" s="15" customFormat="1" x14ac:dyDescent="0.3">
      <c r="A132" s="13">
        <v>131</v>
      </c>
      <c r="B132" s="20" t="s">
        <v>199</v>
      </c>
      <c r="C132" s="13">
        <v>1</v>
      </c>
      <c r="D132" s="13">
        <v>3</v>
      </c>
      <c r="E132" s="13" t="s">
        <v>13</v>
      </c>
    </row>
    <row r="133" spans="1:5" s="15" customFormat="1" x14ac:dyDescent="0.3">
      <c r="A133" s="13">
        <v>132</v>
      </c>
      <c r="B133" s="20" t="s">
        <v>200</v>
      </c>
      <c r="C133" s="13">
        <v>1</v>
      </c>
      <c r="D133" s="13">
        <v>3</v>
      </c>
      <c r="E133" s="13" t="s">
        <v>13</v>
      </c>
    </row>
    <row r="134" spans="1:5" s="15" customFormat="1" x14ac:dyDescent="0.3">
      <c r="A134" s="13">
        <v>133</v>
      </c>
      <c r="B134" s="20" t="s">
        <v>201</v>
      </c>
      <c r="C134" s="13">
        <v>1</v>
      </c>
      <c r="D134" s="13">
        <v>3</v>
      </c>
      <c r="E134" s="13" t="s">
        <v>13</v>
      </c>
    </row>
    <row r="135" spans="1:5" s="15" customFormat="1" x14ac:dyDescent="0.3">
      <c r="A135" s="13">
        <v>134</v>
      </c>
      <c r="B135" s="20" t="s">
        <v>202</v>
      </c>
      <c r="C135" s="13">
        <v>1</v>
      </c>
      <c r="D135" s="13">
        <v>3</v>
      </c>
      <c r="E135" s="13" t="s">
        <v>13</v>
      </c>
    </row>
    <row r="136" spans="1:5" s="15" customFormat="1" x14ac:dyDescent="0.3">
      <c r="A136" s="13">
        <v>135</v>
      </c>
      <c r="B136" s="20" t="s">
        <v>203</v>
      </c>
      <c r="C136" s="13">
        <v>1</v>
      </c>
      <c r="D136" s="13">
        <v>3</v>
      </c>
      <c r="E136" s="13" t="s">
        <v>13</v>
      </c>
    </row>
    <row r="137" spans="1:5" s="15" customFormat="1" x14ac:dyDescent="0.3">
      <c r="A137" s="13">
        <v>136</v>
      </c>
      <c r="B137" s="20" t="s">
        <v>204</v>
      </c>
      <c r="C137" s="13">
        <v>1</v>
      </c>
      <c r="D137" s="13">
        <v>3</v>
      </c>
      <c r="E137" s="13" t="s">
        <v>13</v>
      </c>
    </row>
    <row r="138" spans="1:5" s="15" customFormat="1" x14ac:dyDescent="0.3">
      <c r="A138" s="13">
        <v>137</v>
      </c>
      <c r="B138" s="20" t="s">
        <v>205</v>
      </c>
      <c r="C138" s="13">
        <v>1</v>
      </c>
      <c r="D138" s="13">
        <v>4</v>
      </c>
      <c r="E138" s="13" t="s">
        <v>13</v>
      </c>
    </row>
    <row r="139" spans="1:5" s="9" customFormat="1" x14ac:dyDescent="0.3">
      <c r="A139" s="7">
        <v>138</v>
      </c>
      <c r="B139" s="19" t="s">
        <v>206</v>
      </c>
      <c r="C139" s="7">
        <v>3</v>
      </c>
      <c r="D139" s="7">
        <v>3</v>
      </c>
      <c r="E139" s="7" t="s">
        <v>11</v>
      </c>
    </row>
    <row r="140" spans="1:5" s="9" customFormat="1" x14ac:dyDescent="0.3">
      <c r="A140" s="7">
        <v>139</v>
      </c>
      <c r="B140" s="19" t="s">
        <v>207</v>
      </c>
      <c r="C140" s="7">
        <v>3</v>
      </c>
      <c r="D140" s="7">
        <v>3</v>
      </c>
      <c r="E140" s="7" t="s">
        <v>11</v>
      </c>
    </row>
    <row r="141" spans="1:5" s="9" customFormat="1" x14ac:dyDescent="0.3">
      <c r="A141" s="7">
        <v>140</v>
      </c>
      <c r="B141" s="19" t="s">
        <v>208</v>
      </c>
      <c r="C141" s="7">
        <v>3</v>
      </c>
      <c r="D141" s="7">
        <v>3</v>
      </c>
      <c r="E141" s="7" t="s">
        <v>11</v>
      </c>
    </row>
    <row r="142" spans="1:5" s="9" customFormat="1" x14ac:dyDescent="0.3">
      <c r="A142" s="7">
        <v>141</v>
      </c>
      <c r="B142" s="19" t="s">
        <v>209</v>
      </c>
      <c r="C142" s="7">
        <v>3</v>
      </c>
      <c r="D142" s="7">
        <v>3</v>
      </c>
      <c r="E142" s="7" t="s">
        <v>11</v>
      </c>
    </row>
    <row r="143" spans="1:5" s="15" customFormat="1" x14ac:dyDescent="0.3">
      <c r="A143" s="13">
        <v>142</v>
      </c>
      <c r="B143" s="20" t="s">
        <v>210</v>
      </c>
      <c r="C143" s="13">
        <v>1</v>
      </c>
      <c r="D143" s="13">
        <v>3</v>
      </c>
      <c r="E143" s="13" t="s">
        <v>13</v>
      </c>
    </row>
    <row r="144" spans="1:5" s="9" customFormat="1" x14ac:dyDescent="0.3">
      <c r="A144" s="7">
        <v>143</v>
      </c>
      <c r="B144" s="19" t="s">
        <v>211</v>
      </c>
      <c r="C144" s="7">
        <v>3</v>
      </c>
      <c r="D144" s="7">
        <v>3</v>
      </c>
      <c r="E144" s="7" t="s">
        <v>11</v>
      </c>
    </row>
    <row r="145" spans="1:5" s="9" customFormat="1" x14ac:dyDescent="0.3">
      <c r="A145" s="7">
        <v>144</v>
      </c>
      <c r="B145" s="19" t="s">
        <v>212</v>
      </c>
      <c r="C145" s="7">
        <v>3</v>
      </c>
      <c r="D145" s="7">
        <v>3</v>
      </c>
      <c r="E145" s="7" t="s">
        <v>11</v>
      </c>
    </row>
    <row r="146" spans="1:5" s="9" customFormat="1" x14ac:dyDescent="0.3">
      <c r="A146" s="7">
        <v>145</v>
      </c>
      <c r="B146" s="19" t="s">
        <v>213</v>
      </c>
      <c r="C146" s="7">
        <v>3</v>
      </c>
      <c r="D146" s="7">
        <v>3</v>
      </c>
      <c r="E146" s="7" t="s">
        <v>11</v>
      </c>
    </row>
    <row r="147" spans="1:5" s="18" customFormat="1" x14ac:dyDescent="0.3">
      <c r="A147" s="16">
        <v>146</v>
      </c>
      <c r="B147" s="22" t="s">
        <v>214</v>
      </c>
      <c r="C147" s="16">
        <v>3</v>
      </c>
      <c r="D147" s="16">
        <v>2</v>
      </c>
      <c r="E147" s="16" t="s">
        <v>14</v>
      </c>
    </row>
    <row r="148" spans="1:5" s="9" customFormat="1" x14ac:dyDescent="0.3">
      <c r="A148" s="7">
        <v>147</v>
      </c>
      <c r="B148" s="19" t="s">
        <v>215</v>
      </c>
      <c r="C148" s="7">
        <v>3</v>
      </c>
      <c r="D148" s="7">
        <v>3</v>
      </c>
      <c r="E148" s="7" t="s">
        <v>11</v>
      </c>
    </row>
    <row r="149" spans="1:5" s="9" customFormat="1" x14ac:dyDescent="0.3">
      <c r="A149" s="7">
        <v>148</v>
      </c>
      <c r="B149" s="19" t="s">
        <v>216</v>
      </c>
      <c r="C149" s="7">
        <v>3</v>
      </c>
      <c r="D149" s="7">
        <v>3</v>
      </c>
      <c r="E149" s="7" t="s">
        <v>11</v>
      </c>
    </row>
    <row r="150" spans="1:5" s="9" customFormat="1" x14ac:dyDescent="0.3">
      <c r="A150" s="7">
        <v>149</v>
      </c>
      <c r="B150" s="19" t="s">
        <v>217</v>
      </c>
      <c r="C150" s="7">
        <v>3</v>
      </c>
      <c r="D150" s="7">
        <v>3</v>
      </c>
      <c r="E150" s="7" t="s">
        <v>11</v>
      </c>
    </row>
    <row r="151" spans="1:5" s="9" customFormat="1" x14ac:dyDescent="0.3">
      <c r="A151" s="7">
        <v>150</v>
      </c>
      <c r="B151" s="19" t="s">
        <v>218</v>
      </c>
      <c r="C151" s="7">
        <v>3</v>
      </c>
      <c r="D151" s="7">
        <v>3</v>
      </c>
      <c r="E151" s="7" t="s">
        <v>11</v>
      </c>
    </row>
    <row r="152" spans="1:5" s="9" customFormat="1" x14ac:dyDescent="0.3">
      <c r="A152" s="7">
        <v>151</v>
      </c>
      <c r="B152" s="19" t="s">
        <v>219</v>
      </c>
      <c r="C152" s="7">
        <v>3</v>
      </c>
      <c r="D152" s="7">
        <v>3</v>
      </c>
      <c r="E152" s="7" t="s">
        <v>11</v>
      </c>
    </row>
    <row r="153" spans="1:5" s="9" customFormat="1" x14ac:dyDescent="0.3">
      <c r="A153" s="7">
        <v>152</v>
      </c>
      <c r="B153" s="19" t="s">
        <v>220</v>
      </c>
      <c r="C153" s="7">
        <v>3</v>
      </c>
      <c r="D153" s="7">
        <v>3</v>
      </c>
      <c r="E153" s="7" t="s">
        <v>11</v>
      </c>
    </row>
    <row r="154" spans="1:5" s="15" customFormat="1" x14ac:dyDescent="0.3">
      <c r="A154" s="13">
        <v>153</v>
      </c>
      <c r="B154" s="20" t="s">
        <v>221</v>
      </c>
      <c r="C154" s="13">
        <v>1</v>
      </c>
      <c r="D154" s="13">
        <v>3</v>
      </c>
      <c r="E154" s="13" t="s">
        <v>13</v>
      </c>
    </row>
    <row r="155" spans="1:5" s="15" customFormat="1" x14ac:dyDescent="0.3">
      <c r="A155" s="13">
        <v>154</v>
      </c>
      <c r="B155" s="20" t="s">
        <v>222</v>
      </c>
      <c r="C155" s="13">
        <v>1</v>
      </c>
      <c r="D155" s="13">
        <v>4</v>
      </c>
      <c r="E155" s="13" t="s">
        <v>13</v>
      </c>
    </row>
    <row r="156" spans="1:5" s="9" customFormat="1" x14ac:dyDescent="0.3">
      <c r="A156" s="7">
        <v>155</v>
      </c>
      <c r="B156" s="19" t="s">
        <v>223</v>
      </c>
      <c r="C156" s="7">
        <v>3</v>
      </c>
      <c r="D156" s="7">
        <v>3</v>
      </c>
      <c r="E156" s="7" t="s">
        <v>11</v>
      </c>
    </row>
    <row r="157" spans="1:5" s="15" customFormat="1" x14ac:dyDescent="0.3">
      <c r="A157" s="13">
        <v>156</v>
      </c>
      <c r="B157" s="20" t="s">
        <v>224</v>
      </c>
      <c r="C157" s="13">
        <v>1</v>
      </c>
      <c r="D157" s="13">
        <v>3</v>
      </c>
      <c r="E157" s="13" t="s">
        <v>13</v>
      </c>
    </row>
    <row r="158" spans="1:5" s="12" customFormat="1" x14ac:dyDescent="0.3">
      <c r="A158" s="10">
        <v>157</v>
      </c>
      <c r="B158" s="21" t="s">
        <v>225</v>
      </c>
      <c r="C158" s="10">
        <v>1</v>
      </c>
      <c r="D158" s="10">
        <v>2</v>
      </c>
      <c r="E158" s="10" t="s">
        <v>12</v>
      </c>
    </row>
    <row r="159" spans="1:5" s="9" customFormat="1" x14ac:dyDescent="0.3">
      <c r="A159" s="7">
        <v>158</v>
      </c>
      <c r="B159" s="19" t="s">
        <v>226</v>
      </c>
      <c r="C159" s="7">
        <v>3</v>
      </c>
      <c r="D159" s="7">
        <v>3</v>
      </c>
      <c r="E159" s="7" t="s">
        <v>11</v>
      </c>
    </row>
    <row r="160" spans="1:5" s="9" customFormat="1" x14ac:dyDescent="0.3">
      <c r="A160" s="7">
        <v>159</v>
      </c>
      <c r="B160" s="19" t="s">
        <v>227</v>
      </c>
      <c r="C160" s="7">
        <v>3</v>
      </c>
      <c r="D160" s="7">
        <v>4</v>
      </c>
      <c r="E160" s="7" t="s">
        <v>11</v>
      </c>
    </row>
    <row r="161" spans="1:5" s="9" customFormat="1" x14ac:dyDescent="0.3">
      <c r="A161" s="7">
        <v>160</v>
      </c>
      <c r="B161" s="19" t="s">
        <v>228</v>
      </c>
      <c r="C161" s="7">
        <v>3</v>
      </c>
      <c r="D161" s="7">
        <v>4</v>
      </c>
      <c r="E161" s="7" t="s">
        <v>11</v>
      </c>
    </row>
    <row r="162" spans="1:5" s="9" customFormat="1" x14ac:dyDescent="0.3">
      <c r="A162" s="7">
        <v>161</v>
      </c>
      <c r="B162" s="19" t="s">
        <v>229</v>
      </c>
      <c r="C162" s="7">
        <v>3</v>
      </c>
      <c r="D162" s="7">
        <v>4</v>
      </c>
      <c r="E162" s="7" t="s">
        <v>11</v>
      </c>
    </row>
    <row r="163" spans="1:5" s="12" customFormat="1" x14ac:dyDescent="0.3">
      <c r="A163" s="10">
        <v>162</v>
      </c>
      <c r="B163" s="21" t="s">
        <v>230</v>
      </c>
      <c r="C163" s="10">
        <v>1</v>
      </c>
      <c r="D163" s="10">
        <v>2</v>
      </c>
      <c r="E163" s="10" t="s">
        <v>12</v>
      </c>
    </row>
    <row r="164" spans="1:5" s="15" customFormat="1" x14ac:dyDescent="0.3">
      <c r="A164" s="13">
        <v>163</v>
      </c>
      <c r="B164" s="20" t="s">
        <v>231</v>
      </c>
      <c r="C164" s="13">
        <v>1</v>
      </c>
      <c r="D164" s="13">
        <v>3</v>
      </c>
      <c r="E164" s="13" t="s">
        <v>13</v>
      </c>
    </row>
    <row r="165" spans="1:5" x14ac:dyDescent="0.3">
      <c r="B165" s="6"/>
    </row>
    <row r="166" spans="1:5" x14ac:dyDescent="0.3">
      <c r="B166" s="3" t="s">
        <v>266</v>
      </c>
      <c r="C166" s="4">
        <v>88</v>
      </c>
    </row>
    <row r="167" spans="1:5" x14ac:dyDescent="0.3">
      <c r="B167" s="3" t="s">
        <v>267</v>
      </c>
      <c r="C167" s="4">
        <v>29</v>
      </c>
    </row>
    <row r="168" spans="1:5" x14ac:dyDescent="0.3">
      <c r="B168" s="3" t="s">
        <v>268</v>
      </c>
      <c r="C168" s="4">
        <v>33</v>
      </c>
    </row>
    <row r="169" spans="1:5" x14ac:dyDescent="0.3">
      <c r="B169" s="3" t="s">
        <v>269</v>
      </c>
      <c r="C169" s="4">
        <v>13</v>
      </c>
    </row>
    <row r="170" spans="1:5" x14ac:dyDescent="0.3">
      <c r="B170" s="6"/>
    </row>
    <row r="171" spans="1:5" x14ac:dyDescent="0.3">
      <c r="B171" s="3" t="s">
        <v>262</v>
      </c>
      <c r="C171" s="4">
        <v>119</v>
      </c>
    </row>
    <row r="172" spans="1:5" x14ac:dyDescent="0.3">
      <c r="B172" s="3" t="s">
        <v>263</v>
      </c>
      <c r="C172" s="4">
        <v>35</v>
      </c>
    </row>
    <row r="173" spans="1:5" x14ac:dyDescent="0.3">
      <c r="B173" s="3" t="s">
        <v>264</v>
      </c>
      <c r="C173" s="4">
        <v>42</v>
      </c>
    </row>
    <row r="174" spans="1:5" x14ac:dyDescent="0.3">
      <c r="B174" s="3" t="s">
        <v>265</v>
      </c>
      <c r="C174" s="4">
        <v>16</v>
      </c>
    </row>
    <row r="175" spans="1:5" x14ac:dyDescent="0.3">
      <c r="B175" s="6"/>
    </row>
    <row r="176" spans="1:5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  <row r="192" spans="2:2" x14ac:dyDescent="0.3">
      <c r="B192" s="6"/>
    </row>
    <row r="193" spans="2:2" x14ac:dyDescent="0.3">
      <c r="B193" s="6"/>
    </row>
    <row r="194" spans="2:2" x14ac:dyDescent="0.3">
      <c r="B194" s="6"/>
    </row>
    <row r="195" spans="2:2" x14ac:dyDescent="0.3">
      <c r="B195" s="6"/>
    </row>
    <row r="196" spans="2:2" x14ac:dyDescent="0.3">
      <c r="B196" s="6"/>
    </row>
    <row r="197" spans="2:2" x14ac:dyDescent="0.3">
      <c r="B197" s="6"/>
    </row>
    <row r="198" spans="2:2" x14ac:dyDescent="0.3">
      <c r="B198" s="6"/>
    </row>
    <row r="199" spans="2:2" x14ac:dyDescent="0.3">
      <c r="B199" s="6"/>
    </row>
    <row r="200" spans="2:2" x14ac:dyDescent="0.3">
      <c r="B200" s="6"/>
    </row>
    <row r="201" spans="2:2" x14ac:dyDescent="0.3">
      <c r="B201" s="6"/>
    </row>
    <row r="202" spans="2:2" x14ac:dyDescent="0.3">
      <c r="B202" s="6"/>
    </row>
    <row r="203" spans="2:2" x14ac:dyDescent="0.3">
      <c r="B203" s="6"/>
    </row>
    <row r="204" spans="2:2" x14ac:dyDescent="0.3">
      <c r="B204" s="6"/>
    </row>
    <row r="205" spans="2:2" x14ac:dyDescent="0.3">
      <c r="B205" s="6"/>
    </row>
    <row r="206" spans="2:2" x14ac:dyDescent="0.3">
      <c r="B206" s="6"/>
    </row>
    <row r="207" spans="2:2" x14ac:dyDescent="0.3">
      <c r="B207" s="6"/>
    </row>
    <row r="208" spans="2:2" x14ac:dyDescent="0.3">
      <c r="B208" s="6"/>
    </row>
    <row r="209" spans="2:2" x14ac:dyDescent="0.3">
      <c r="B209" s="6"/>
    </row>
    <row r="210" spans="2:2" x14ac:dyDescent="0.3">
      <c r="B210" s="6"/>
    </row>
    <row r="211" spans="2:2" x14ac:dyDescent="0.3">
      <c r="B211" s="6"/>
    </row>
    <row r="212" spans="2:2" x14ac:dyDescent="0.3">
      <c r="B212" s="6"/>
    </row>
    <row r="213" spans="2:2" x14ac:dyDescent="0.3">
      <c r="B213" s="6"/>
    </row>
    <row r="214" spans="2:2" x14ac:dyDescent="0.3">
      <c r="B214" s="6"/>
    </row>
    <row r="215" spans="2:2" x14ac:dyDescent="0.3">
      <c r="B215" s="6"/>
    </row>
    <row r="216" spans="2:2" x14ac:dyDescent="0.3">
      <c r="B216" s="6"/>
    </row>
    <row r="217" spans="2:2" x14ac:dyDescent="0.3">
      <c r="B217" s="6"/>
    </row>
    <row r="218" spans="2:2" x14ac:dyDescent="0.3">
      <c r="B218" s="6"/>
    </row>
    <row r="219" spans="2:2" x14ac:dyDescent="0.3">
      <c r="B219" s="6"/>
    </row>
    <row r="220" spans="2:2" x14ac:dyDescent="0.3">
      <c r="B220" s="6"/>
    </row>
    <row r="221" spans="2:2" x14ac:dyDescent="0.3">
      <c r="B221" s="6"/>
    </row>
    <row r="222" spans="2:2" x14ac:dyDescent="0.3">
      <c r="B222" s="6"/>
    </row>
    <row r="223" spans="2:2" x14ac:dyDescent="0.3">
      <c r="B223" s="6"/>
    </row>
    <row r="224" spans="2:2" x14ac:dyDescent="0.3">
      <c r="B224" s="6"/>
    </row>
    <row r="225" spans="2:2" x14ac:dyDescent="0.3">
      <c r="B225" s="6"/>
    </row>
    <row r="226" spans="2:2" x14ac:dyDescent="0.3">
      <c r="B226" s="6"/>
    </row>
    <row r="227" spans="2:2" x14ac:dyDescent="0.3">
      <c r="B227" s="6"/>
    </row>
    <row r="228" spans="2:2" x14ac:dyDescent="0.3">
      <c r="B228" s="6"/>
    </row>
    <row r="229" spans="2:2" x14ac:dyDescent="0.3">
      <c r="B229" s="6"/>
    </row>
    <row r="230" spans="2:2" x14ac:dyDescent="0.3">
      <c r="B230" s="6"/>
    </row>
    <row r="231" spans="2:2" x14ac:dyDescent="0.3">
      <c r="B231" s="6"/>
    </row>
    <row r="232" spans="2:2" x14ac:dyDescent="0.3">
      <c r="B232" s="6"/>
    </row>
    <row r="233" spans="2:2" x14ac:dyDescent="0.3">
      <c r="B233" s="6"/>
    </row>
    <row r="234" spans="2:2" x14ac:dyDescent="0.3">
      <c r="B234" s="6"/>
    </row>
    <row r="235" spans="2:2" x14ac:dyDescent="0.3">
      <c r="B235" s="6"/>
    </row>
    <row r="236" spans="2:2" x14ac:dyDescent="0.3">
      <c r="B236" s="6"/>
    </row>
    <row r="237" spans="2:2" x14ac:dyDescent="0.3">
      <c r="B237" s="6"/>
    </row>
    <row r="238" spans="2:2" x14ac:dyDescent="0.3">
      <c r="B238" s="6"/>
    </row>
    <row r="239" spans="2:2" x14ac:dyDescent="0.3">
      <c r="B239" s="6"/>
    </row>
    <row r="240" spans="2:2" x14ac:dyDescent="0.3">
      <c r="B240" s="6"/>
    </row>
    <row r="241" spans="2:2" x14ac:dyDescent="0.3">
      <c r="B241" s="6"/>
    </row>
    <row r="242" spans="2:2" x14ac:dyDescent="0.3">
      <c r="B242" s="6"/>
    </row>
    <row r="243" spans="2:2" x14ac:dyDescent="0.3">
      <c r="B243" s="6"/>
    </row>
    <row r="244" spans="2:2" x14ac:dyDescent="0.3">
      <c r="B244" s="6"/>
    </row>
    <row r="245" spans="2:2" x14ac:dyDescent="0.3">
      <c r="B245" s="6"/>
    </row>
    <row r="246" spans="2:2" x14ac:dyDescent="0.3">
      <c r="B246" s="6"/>
    </row>
    <row r="247" spans="2:2" x14ac:dyDescent="0.3">
      <c r="B247" s="6"/>
    </row>
    <row r="248" spans="2:2" x14ac:dyDescent="0.3">
      <c r="B248" s="6"/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  <row r="256" spans="2:2" x14ac:dyDescent="0.3">
      <c r="B256" s="6"/>
    </row>
  </sheetData>
  <dataValidations count="3">
    <dataValidation type="whole" allowBlank="1" showInputMessage="1" showErrorMessage="1" sqref="D257:D16379 D2:D15 D17:D22 D26:D28 D30:D35 D42 D40 D38 D47 D44 D70:D73 D68 D63:D66 D77 D79 D82:D87 D93:D94 D91 D89 D101:D103 D98 D51:D61 D123 D121 D119 D105:D117 D135:D137 D129:D131 D145:D146 D142:D143 D140 D152 D149:D150 D161:D162 D159 D154:D157 D167:D172 D164:D165 D175:D176 D184:D185 D178:D182 D195 D189:D193 D187 D212:D213 D198:D208 D220:D221 D217:D218 D233 D229 D223:D227 D236:D239 D251:D253 D241:D249 D255 D125:D127 D75" xr:uid="{48EF4F30-B944-49A5-B5C0-850C2070794A}">
      <formula1>0</formula1>
      <formula2>5</formula2>
    </dataValidation>
    <dataValidation type="whole" allowBlank="1" showInputMessage="1" showErrorMessage="1" sqref="D24:D25 D29 D36:D37 D39 D41 D43 D45:D46 D48:D50 D62 D67 D69 D76 D78 D80:D81 D88 D90 D92 D95:D97 D99:D100 D104 D118 D120 D122 D124 D128 D132:D134 D138:D139 D141 D144 D147:D148 D151 D153 D158 D163 D166 D173:D174 D177 D183 D186 D188 D194 D196:D197 D209:D211 D214:D216 D219 D222 D228 D230:D232 D234:D235 D240 D250 D254 D256 D74" xr:uid="{8ED5DAE1-D43A-440C-892B-A47587B718F3}">
      <formula1>0</formula1>
      <formula2>7</formula2>
    </dataValidation>
    <dataValidation type="whole" allowBlank="1" showInputMessage="1" showErrorMessage="1" sqref="D16 D23" xr:uid="{E66249CC-3312-4755-8B1C-990456C87B95}">
      <formula1>0</formula1>
      <formula2>12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E8F3-51BD-45BD-88BA-D6B56ABC97CB}">
  <dimension ref="A1:E174"/>
  <sheetViews>
    <sheetView zoomScale="50" zoomScaleNormal="50" workbookViewId="0">
      <selection activeCell="E171" sqref="E171"/>
    </sheetView>
  </sheetViews>
  <sheetFormatPr defaultRowHeight="14.4" x14ac:dyDescent="0.3"/>
  <cols>
    <col min="1" max="1" width="5.44140625" bestFit="1" customWidth="1"/>
    <col min="2" max="2" width="41" bestFit="1" customWidth="1"/>
    <col min="3" max="3" width="21.88671875" bestFit="1" customWidth="1"/>
    <col min="4" max="4" width="17.44140625" bestFit="1" customWidth="1"/>
    <col min="5" max="5" width="16.77734375" bestFit="1" customWidth="1"/>
  </cols>
  <sheetData>
    <row r="1" spans="1:5" ht="15.6" x14ac:dyDescent="0.3">
      <c r="A1" s="4" t="s">
        <v>15</v>
      </c>
      <c r="B1" s="4" t="s">
        <v>6</v>
      </c>
      <c r="C1" s="4" t="s">
        <v>7</v>
      </c>
      <c r="D1" s="4" t="s">
        <v>9</v>
      </c>
      <c r="E1" s="4" t="s">
        <v>10</v>
      </c>
    </row>
    <row r="2" spans="1:5" s="9" customFormat="1" ht="15.6" x14ac:dyDescent="0.3">
      <c r="A2" s="7">
        <v>1</v>
      </c>
      <c r="B2" s="19" t="s">
        <v>70</v>
      </c>
      <c r="C2" s="7">
        <v>4</v>
      </c>
      <c r="D2" s="7">
        <v>4</v>
      </c>
      <c r="E2" s="7" t="s">
        <v>11</v>
      </c>
    </row>
    <row r="3" spans="1:5" s="15" customFormat="1" ht="15.6" x14ac:dyDescent="0.3">
      <c r="A3" s="13">
        <v>2</v>
      </c>
      <c r="B3" s="20" t="s">
        <v>71</v>
      </c>
      <c r="C3" s="13">
        <v>2</v>
      </c>
      <c r="D3" s="13">
        <v>3</v>
      </c>
      <c r="E3" s="13" t="s">
        <v>13</v>
      </c>
    </row>
    <row r="4" spans="1:5" s="15" customFormat="1" ht="15.6" x14ac:dyDescent="0.3">
      <c r="A4" s="13">
        <v>3</v>
      </c>
      <c r="B4" s="20" t="s">
        <v>72</v>
      </c>
      <c r="C4" s="13">
        <v>1</v>
      </c>
      <c r="D4" s="13">
        <v>4</v>
      </c>
      <c r="E4" s="13" t="s">
        <v>13</v>
      </c>
    </row>
    <row r="5" spans="1:5" s="12" customFormat="1" ht="15.6" x14ac:dyDescent="0.3">
      <c r="A5" s="10">
        <v>4</v>
      </c>
      <c r="B5" s="21" t="s">
        <v>73</v>
      </c>
      <c r="C5" s="10">
        <v>1</v>
      </c>
      <c r="D5" s="10">
        <v>2</v>
      </c>
      <c r="E5" s="10" t="s">
        <v>12</v>
      </c>
    </row>
    <row r="6" spans="1:5" s="12" customFormat="1" ht="15.6" x14ac:dyDescent="0.3">
      <c r="A6" s="10">
        <v>5</v>
      </c>
      <c r="B6" s="21" t="s">
        <v>74</v>
      </c>
      <c r="C6" s="10">
        <v>1</v>
      </c>
      <c r="D6" s="10">
        <v>2</v>
      </c>
      <c r="E6" s="10" t="s">
        <v>12</v>
      </c>
    </row>
    <row r="7" spans="1:5" s="18" customFormat="1" ht="15.6" x14ac:dyDescent="0.3">
      <c r="A7" s="16">
        <v>6</v>
      </c>
      <c r="B7" s="22" t="s">
        <v>75</v>
      </c>
      <c r="C7" s="16">
        <v>3</v>
      </c>
      <c r="D7" s="16">
        <v>1</v>
      </c>
      <c r="E7" s="16" t="s">
        <v>14</v>
      </c>
    </row>
    <row r="8" spans="1:5" s="15" customFormat="1" ht="15.6" x14ac:dyDescent="0.3">
      <c r="A8" s="13">
        <v>7</v>
      </c>
      <c r="B8" s="20" t="s">
        <v>76</v>
      </c>
      <c r="C8" s="13">
        <v>1</v>
      </c>
      <c r="D8" s="13">
        <v>3</v>
      </c>
      <c r="E8" s="13" t="s">
        <v>13</v>
      </c>
    </row>
    <row r="9" spans="1:5" s="9" customFormat="1" ht="15.6" x14ac:dyDescent="0.3">
      <c r="A9" s="7">
        <v>8</v>
      </c>
      <c r="B9" s="19" t="s">
        <v>77</v>
      </c>
      <c r="C9" s="7">
        <v>4</v>
      </c>
      <c r="D9" s="7">
        <v>4</v>
      </c>
      <c r="E9" s="7" t="s">
        <v>11</v>
      </c>
    </row>
    <row r="10" spans="1:5" s="9" customFormat="1" ht="15.6" x14ac:dyDescent="0.3">
      <c r="A10" s="7">
        <v>9</v>
      </c>
      <c r="B10" s="19" t="s">
        <v>78</v>
      </c>
      <c r="C10" s="7">
        <v>4</v>
      </c>
      <c r="D10" s="7">
        <v>4</v>
      </c>
      <c r="E10" s="7" t="s">
        <v>11</v>
      </c>
    </row>
    <row r="11" spans="1:5" s="9" customFormat="1" ht="15.6" x14ac:dyDescent="0.3">
      <c r="A11" s="7">
        <v>10</v>
      </c>
      <c r="B11" s="19" t="s">
        <v>79</v>
      </c>
      <c r="C11" s="7">
        <v>4</v>
      </c>
      <c r="D11" s="7">
        <v>4</v>
      </c>
      <c r="E11" s="7" t="s">
        <v>11</v>
      </c>
    </row>
    <row r="12" spans="1:5" s="18" customFormat="1" ht="15.6" x14ac:dyDescent="0.3">
      <c r="A12" s="16">
        <v>11</v>
      </c>
      <c r="B12" s="22" t="s">
        <v>80</v>
      </c>
      <c r="C12" s="16">
        <v>3</v>
      </c>
      <c r="D12" s="16">
        <v>2</v>
      </c>
      <c r="E12" s="16" t="s">
        <v>14</v>
      </c>
    </row>
    <row r="13" spans="1:5" s="18" customFormat="1" ht="15.6" x14ac:dyDescent="0.3">
      <c r="A13" s="16">
        <v>12</v>
      </c>
      <c r="B13" s="22" t="s">
        <v>81</v>
      </c>
      <c r="C13" s="16">
        <v>3</v>
      </c>
      <c r="D13" s="16">
        <v>2</v>
      </c>
      <c r="E13" s="16" t="s">
        <v>14</v>
      </c>
    </row>
    <row r="14" spans="1:5" s="9" customFormat="1" ht="15.6" x14ac:dyDescent="0.3">
      <c r="A14" s="7">
        <v>13</v>
      </c>
      <c r="B14" s="19" t="s">
        <v>82</v>
      </c>
      <c r="C14" s="7">
        <v>3</v>
      </c>
      <c r="D14" s="7">
        <v>3</v>
      </c>
      <c r="E14" s="7" t="s">
        <v>11</v>
      </c>
    </row>
    <row r="15" spans="1:5" s="9" customFormat="1" ht="15.6" x14ac:dyDescent="0.3">
      <c r="A15" s="7">
        <v>14</v>
      </c>
      <c r="B15" s="19" t="s">
        <v>83</v>
      </c>
      <c r="C15" s="7">
        <v>4</v>
      </c>
      <c r="D15" s="7">
        <v>3</v>
      </c>
      <c r="E15" s="7" t="s">
        <v>11</v>
      </c>
    </row>
    <row r="16" spans="1:5" s="9" customFormat="1" ht="15.6" x14ac:dyDescent="0.3">
      <c r="A16" s="7">
        <v>15</v>
      </c>
      <c r="B16" s="19" t="s">
        <v>84</v>
      </c>
      <c r="C16" s="7">
        <v>4</v>
      </c>
      <c r="D16" s="7">
        <v>4</v>
      </c>
      <c r="E16" s="7" t="s">
        <v>11</v>
      </c>
    </row>
    <row r="17" spans="1:5" s="9" customFormat="1" ht="15.6" x14ac:dyDescent="0.3">
      <c r="A17" s="7">
        <v>16</v>
      </c>
      <c r="B17" s="19" t="s">
        <v>85</v>
      </c>
      <c r="C17" s="7">
        <v>4</v>
      </c>
      <c r="D17" s="7">
        <v>3</v>
      </c>
      <c r="E17" s="7" t="s">
        <v>11</v>
      </c>
    </row>
    <row r="18" spans="1:5" s="12" customFormat="1" ht="15.6" x14ac:dyDescent="0.3">
      <c r="A18" s="10">
        <v>17</v>
      </c>
      <c r="B18" s="21" t="s">
        <v>86</v>
      </c>
      <c r="C18" s="10">
        <v>1</v>
      </c>
      <c r="D18" s="10">
        <v>2</v>
      </c>
      <c r="E18" s="10" t="s">
        <v>12</v>
      </c>
    </row>
    <row r="19" spans="1:5" s="12" customFormat="1" ht="15.6" x14ac:dyDescent="0.3">
      <c r="A19" s="10">
        <v>18</v>
      </c>
      <c r="B19" s="21" t="s">
        <v>87</v>
      </c>
      <c r="C19" s="10">
        <v>1</v>
      </c>
      <c r="D19" s="10">
        <v>2</v>
      </c>
      <c r="E19" s="10" t="s">
        <v>12</v>
      </c>
    </row>
    <row r="20" spans="1:5" s="15" customFormat="1" ht="15.6" x14ac:dyDescent="0.3">
      <c r="A20" s="13">
        <v>19</v>
      </c>
      <c r="B20" s="20" t="s">
        <v>88</v>
      </c>
      <c r="C20" s="13">
        <v>1</v>
      </c>
      <c r="D20" s="13">
        <v>3</v>
      </c>
      <c r="E20" s="13" t="s">
        <v>13</v>
      </c>
    </row>
    <row r="21" spans="1:5" s="15" customFormat="1" ht="15.6" x14ac:dyDescent="0.3">
      <c r="A21" s="13">
        <v>20</v>
      </c>
      <c r="B21" s="20" t="s">
        <v>89</v>
      </c>
      <c r="C21" s="13">
        <v>1</v>
      </c>
      <c r="D21" s="13">
        <v>3</v>
      </c>
      <c r="E21" s="13" t="s">
        <v>13</v>
      </c>
    </row>
    <row r="22" spans="1:5" s="12" customFormat="1" ht="15.6" x14ac:dyDescent="0.3">
      <c r="A22" s="10">
        <v>21</v>
      </c>
      <c r="B22" s="21" t="s">
        <v>90</v>
      </c>
      <c r="C22" s="10">
        <v>1</v>
      </c>
      <c r="D22" s="10">
        <v>2</v>
      </c>
      <c r="E22" s="10" t="s">
        <v>12</v>
      </c>
    </row>
    <row r="23" spans="1:5" s="15" customFormat="1" ht="15.6" x14ac:dyDescent="0.3">
      <c r="A23" s="13">
        <v>22</v>
      </c>
      <c r="B23" s="20" t="s">
        <v>91</v>
      </c>
      <c r="C23" s="13">
        <v>1</v>
      </c>
      <c r="D23" s="13">
        <v>4</v>
      </c>
      <c r="E23" s="13" t="s">
        <v>13</v>
      </c>
    </row>
    <row r="24" spans="1:5" s="15" customFormat="1" ht="15.6" x14ac:dyDescent="0.3">
      <c r="A24" s="13">
        <v>23</v>
      </c>
      <c r="B24" s="20" t="s">
        <v>92</v>
      </c>
      <c r="C24" s="13">
        <v>2</v>
      </c>
      <c r="D24" s="13">
        <v>3</v>
      </c>
      <c r="E24" s="13" t="s">
        <v>13</v>
      </c>
    </row>
    <row r="25" spans="1:5" s="12" customFormat="1" ht="15.6" x14ac:dyDescent="0.3">
      <c r="A25" s="10">
        <v>24</v>
      </c>
      <c r="B25" s="21" t="s">
        <v>93</v>
      </c>
      <c r="C25" s="10">
        <v>1</v>
      </c>
      <c r="D25" s="10">
        <v>2</v>
      </c>
      <c r="E25" s="10" t="s">
        <v>12</v>
      </c>
    </row>
    <row r="26" spans="1:5" s="15" customFormat="1" ht="15.6" x14ac:dyDescent="0.3">
      <c r="A26" s="13">
        <v>25</v>
      </c>
      <c r="B26" s="20" t="s">
        <v>94</v>
      </c>
      <c r="C26" s="13">
        <v>1</v>
      </c>
      <c r="D26" s="13">
        <v>3</v>
      </c>
      <c r="E26" s="13" t="s">
        <v>13</v>
      </c>
    </row>
    <row r="27" spans="1:5" s="15" customFormat="1" ht="15.6" x14ac:dyDescent="0.3">
      <c r="A27" s="13">
        <v>26</v>
      </c>
      <c r="B27" s="20" t="s">
        <v>95</v>
      </c>
      <c r="C27" s="13">
        <v>2</v>
      </c>
      <c r="D27" s="13">
        <v>3</v>
      </c>
      <c r="E27" s="13" t="s">
        <v>13</v>
      </c>
    </row>
    <row r="28" spans="1:5" s="12" customFormat="1" ht="15.6" x14ac:dyDescent="0.3">
      <c r="A28" s="10">
        <v>27</v>
      </c>
      <c r="B28" s="21" t="s">
        <v>96</v>
      </c>
      <c r="C28" s="10">
        <v>1</v>
      </c>
      <c r="D28" s="10">
        <v>2</v>
      </c>
      <c r="E28" s="10" t="s">
        <v>12</v>
      </c>
    </row>
    <row r="29" spans="1:5" s="12" customFormat="1" ht="15.6" x14ac:dyDescent="0.3">
      <c r="A29" s="10">
        <v>28</v>
      </c>
      <c r="B29" s="21" t="s">
        <v>97</v>
      </c>
      <c r="C29" s="10">
        <v>1</v>
      </c>
      <c r="D29" s="10">
        <v>2</v>
      </c>
      <c r="E29" s="10" t="s">
        <v>12</v>
      </c>
    </row>
    <row r="30" spans="1:5" s="12" customFormat="1" ht="15.6" x14ac:dyDescent="0.3">
      <c r="A30" s="10">
        <v>29</v>
      </c>
      <c r="B30" s="21" t="s">
        <v>98</v>
      </c>
      <c r="C30" s="10">
        <v>1</v>
      </c>
      <c r="D30" s="10">
        <v>2</v>
      </c>
      <c r="E30" s="10" t="s">
        <v>12</v>
      </c>
    </row>
    <row r="31" spans="1:5" s="15" customFormat="1" ht="15.6" x14ac:dyDescent="0.3">
      <c r="A31" s="13">
        <v>30</v>
      </c>
      <c r="B31" s="20" t="s">
        <v>99</v>
      </c>
      <c r="C31" s="13">
        <v>1</v>
      </c>
      <c r="D31" s="13">
        <v>3</v>
      </c>
      <c r="E31" s="13" t="s">
        <v>13</v>
      </c>
    </row>
    <row r="32" spans="1:5" s="15" customFormat="1" ht="15.6" x14ac:dyDescent="0.3">
      <c r="A32" s="13">
        <v>31</v>
      </c>
      <c r="B32" s="20" t="s">
        <v>100</v>
      </c>
      <c r="C32" s="13">
        <v>1</v>
      </c>
      <c r="D32" s="13">
        <v>4</v>
      </c>
      <c r="E32" s="13" t="s">
        <v>13</v>
      </c>
    </row>
    <row r="33" spans="1:5" s="12" customFormat="1" ht="15.6" x14ac:dyDescent="0.3">
      <c r="A33" s="10">
        <v>32</v>
      </c>
      <c r="B33" s="21" t="s">
        <v>101</v>
      </c>
      <c r="C33" s="10">
        <v>1</v>
      </c>
      <c r="D33" s="10">
        <v>2</v>
      </c>
      <c r="E33" s="10" t="s">
        <v>12</v>
      </c>
    </row>
    <row r="34" spans="1:5" s="15" customFormat="1" ht="15.6" x14ac:dyDescent="0.3">
      <c r="A34" s="13">
        <v>33</v>
      </c>
      <c r="B34" s="20" t="s">
        <v>102</v>
      </c>
      <c r="C34" s="13">
        <v>1</v>
      </c>
      <c r="D34" s="13">
        <v>3</v>
      </c>
      <c r="E34" s="13" t="s">
        <v>13</v>
      </c>
    </row>
    <row r="35" spans="1:5" s="15" customFormat="1" ht="15.6" x14ac:dyDescent="0.3">
      <c r="A35" s="13">
        <v>34</v>
      </c>
      <c r="B35" s="20" t="s">
        <v>103</v>
      </c>
      <c r="C35" s="13">
        <v>1</v>
      </c>
      <c r="D35" s="13">
        <v>4</v>
      </c>
      <c r="E35" s="13" t="s">
        <v>13</v>
      </c>
    </row>
    <row r="36" spans="1:5" s="15" customFormat="1" ht="15.6" x14ac:dyDescent="0.3">
      <c r="A36" s="13">
        <v>35</v>
      </c>
      <c r="B36" s="20" t="s">
        <v>104</v>
      </c>
      <c r="C36" s="13">
        <v>1</v>
      </c>
      <c r="D36" s="13">
        <v>3</v>
      </c>
      <c r="E36" s="13" t="s">
        <v>13</v>
      </c>
    </row>
    <row r="37" spans="1:5" s="12" customFormat="1" ht="15.6" x14ac:dyDescent="0.3">
      <c r="A37" s="10">
        <v>36</v>
      </c>
      <c r="B37" s="21" t="s">
        <v>105</v>
      </c>
      <c r="C37" s="10">
        <v>1</v>
      </c>
      <c r="D37" s="10">
        <v>1</v>
      </c>
      <c r="E37" s="10" t="s">
        <v>12</v>
      </c>
    </row>
    <row r="38" spans="1:5" s="15" customFormat="1" ht="15.6" x14ac:dyDescent="0.3">
      <c r="A38" s="13">
        <v>37</v>
      </c>
      <c r="B38" s="20" t="s">
        <v>106</v>
      </c>
      <c r="C38" s="13">
        <v>1</v>
      </c>
      <c r="D38" s="13">
        <v>3</v>
      </c>
      <c r="E38" s="13" t="s">
        <v>13</v>
      </c>
    </row>
    <row r="39" spans="1:5" s="12" customFormat="1" ht="15.6" x14ac:dyDescent="0.3">
      <c r="A39" s="10">
        <v>38</v>
      </c>
      <c r="B39" s="21" t="s">
        <v>107</v>
      </c>
      <c r="C39" s="10">
        <v>1</v>
      </c>
      <c r="D39" s="10">
        <v>2</v>
      </c>
      <c r="E39" s="10" t="s">
        <v>12</v>
      </c>
    </row>
    <row r="40" spans="1:5" s="12" customFormat="1" ht="15.6" x14ac:dyDescent="0.3">
      <c r="A40" s="10">
        <v>39</v>
      </c>
      <c r="B40" s="21" t="s">
        <v>108</v>
      </c>
      <c r="C40" s="10">
        <v>1</v>
      </c>
      <c r="D40" s="10">
        <v>2</v>
      </c>
      <c r="E40" s="10" t="s">
        <v>12</v>
      </c>
    </row>
    <row r="41" spans="1:5" s="12" customFormat="1" ht="15.6" x14ac:dyDescent="0.3">
      <c r="A41" s="10">
        <v>40</v>
      </c>
      <c r="B41" s="21" t="s">
        <v>109</v>
      </c>
      <c r="C41" s="10">
        <v>1</v>
      </c>
      <c r="D41" s="10">
        <v>2</v>
      </c>
      <c r="E41" s="10" t="s">
        <v>12</v>
      </c>
    </row>
    <row r="42" spans="1:5" s="15" customFormat="1" ht="15.6" x14ac:dyDescent="0.3">
      <c r="A42" s="13">
        <v>41</v>
      </c>
      <c r="B42" s="20" t="s">
        <v>110</v>
      </c>
      <c r="C42" s="13">
        <v>2</v>
      </c>
      <c r="D42" s="13">
        <v>3</v>
      </c>
      <c r="E42" s="13" t="s">
        <v>13</v>
      </c>
    </row>
    <row r="43" spans="1:5" s="9" customFormat="1" ht="15.6" x14ac:dyDescent="0.3">
      <c r="A43" s="7">
        <v>42</v>
      </c>
      <c r="B43" s="19" t="s">
        <v>111</v>
      </c>
      <c r="C43" s="7">
        <v>4</v>
      </c>
      <c r="D43" s="7">
        <v>4</v>
      </c>
      <c r="E43" s="7" t="s">
        <v>11</v>
      </c>
    </row>
    <row r="44" spans="1:5" s="9" customFormat="1" ht="15.6" x14ac:dyDescent="0.3">
      <c r="A44" s="7">
        <v>43</v>
      </c>
      <c r="B44" s="19" t="s">
        <v>112</v>
      </c>
      <c r="C44" s="7">
        <v>4</v>
      </c>
      <c r="D44" s="7">
        <v>4</v>
      </c>
      <c r="E44" s="7" t="s">
        <v>11</v>
      </c>
    </row>
    <row r="45" spans="1:5" s="9" customFormat="1" ht="15.6" x14ac:dyDescent="0.3">
      <c r="A45" s="7">
        <v>44</v>
      </c>
      <c r="B45" s="19" t="s">
        <v>113</v>
      </c>
      <c r="C45" s="7">
        <v>3</v>
      </c>
      <c r="D45" s="7">
        <v>3</v>
      </c>
      <c r="E45" s="7" t="s">
        <v>11</v>
      </c>
    </row>
    <row r="46" spans="1:5" s="15" customFormat="1" ht="15.6" x14ac:dyDescent="0.3">
      <c r="A46" s="13">
        <v>45</v>
      </c>
      <c r="B46" s="20" t="s">
        <v>114</v>
      </c>
      <c r="C46" s="13">
        <v>2</v>
      </c>
      <c r="D46" s="13">
        <v>4</v>
      </c>
      <c r="E46" s="13" t="s">
        <v>13</v>
      </c>
    </row>
    <row r="47" spans="1:5" s="9" customFormat="1" ht="15.6" x14ac:dyDescent="0.3">
      <c r="A47" s="7">
        <v>46</v>
      </c>
      <c r="B47" s="19" t="s">
        <v>115</v>
      </c>
      <c r="C47" s="7">
        <v>4</v>
      </c>
      <c r="D47" s="7">
        <v>4</v>
      </c>
      <c r="E47" s="7" t="s">
        <v>11</v>
      </c>
    </row>
    <row r="48" spans="1:5" s="12" customFormat="1" ht="15.6" x14ac:dyDescent="0.3">
      <c r="A48" s="10">
        <v>47</v>
      </c>
      <c r="B48" s="21" t="s">
        <v>116</v>
      </c>
      <c r="C48" s="10">
        <v>1</v>
      </c>
      <c r="D48" s="10">
        <v>2</v>
      </c>
      <c r="E48" s="10" t="s">
        <v>12</v>
      </c>
    </row>
    <row r="49" spans="1:5" s="9" customFormat="1" ht="15.6" x14ac:dyDescent="0.3">
      <c r="A49" s="7">
        <v>48</v>
      </c>
      <c r="B49" s="19" t="s">
        <v>117</v>
      </c>
      <c r="C49" s="7">
        <v>4</v>
      </c>
      <c r="D49" s="7">
        <v>3</v>
      </c>
      <c r="E49" s="7" t="s">
        <v>11</v>
      </c>
    </row>
    <row r="50" spans="1:5" s="15" customFormat="1" ht="15.6" x14ac:dyDescent="0.3">
      <c r="A50" s="13">
        <v>49</v>
      </c>
      <c r="B50" s="20" t="s">
        <v>118</v>
      </c>
      <c r="C50" s="13">
        <v>2</v>
      </c>
      <c r="D50" s="13">
        <v>4</v>
      </c>
      <c r="E50" s="13" t="s">
        <v>13</v>
      </c>
    </row>
    <row r="51" spans="1:5" s="9" customFormat="1" ht="15.6" x14ac:dyDescent="0.3">
      <c r="A51" s="7">
        <v>50</v>
      </c>
      <c r="B51" s="19" t="s">
        <v>119</v>
      </c>
      <c r="C51" s="7">
        <v>4</v>
      </c>
      <c r="D51" s="7">
        <v>4</v>
      </c>
      <c r="E51" s="7" t="s">
        <v>11</v>
      </c>
    </row>
    <row r="52" spans="1:5" s="9" customFormat="1" ht="15.6" x14ac:dyDescent="0.3">
      <c r="A52" s="7">
        <v>51</v>
      </c>
      <c r="B52" s="19" t="s">
        <v>120</v>
      </c>
      <c r="C52" s="7">
        <v>3</v>
      </c>
      <c r="D52" s="7">
        <v>3</v>
      </c>
      <c r="E52" s="7" t="s">
        <v>11</v>
      </c>
    </row>
    <row r="53" spans="1:5" s="9" customFormat="1" ht="15.6" x14ac:dyDescent="0.3">
      <c r="A53" s="7">
        <v>52</v>
      </c>
      <c r="B53" s="19" t="s">
        <v>121</v>
      </c>
      <c r="C53" s="7">
        <v>3</v>
      </c>
      <c r="D53" s="7">
        <v>4</v>
      </c>
      <c r="E53" s="7" t="s">
        <v>11</v>
      </c>
    </row>
    <row r="54" spans="1:5" s="9" customFormat="1" ht="15.6" x14ac:dyDescent="0.3">
      <c r="A54" s="7">
        <v>53</v>
      </c>
      <c r="B54" s="19" t="s">
        <v>122</v>
      </c>
      <c r="C54" s="7">
        <v>4</v>
      </c>
      <c r="D54" s="7">
        <v>3</v>
      </c>
      <c r="E54" s="7" t="s">
        <v>11</v>
      </c>
    </row>
    <row r="55" spans="1:5" s="9" customFormat="1" ht="15.6" x14ac:dyDescent="0.3">
      <c r="A55" s="7">
        <v>54</v>
      </c>
      <c r="B55" s="19" t="s">
        <v>123</v>
      </c>
      <c r="C55" s="7">
        <v>4</v>
      </c>
      <c r="D55" s="7">
        <v>3</v>
      </c>
      <c r="E55" s="7" t="s">
        <v>11</v>
      </c>
    </row>
    <row r="56" spans="1:5" s="9" customFormat="1" ht="15.6" x14ac:dyDescent="0.3">
      <c r="A56" s="7">
        <v>55</v>
      </c>
      <c r="B56" s="19" t="s">
        <v>124</v>
      </c>
      <c r="C56" s="7">
        <v>4</v>
      </c>
      <c r="D56" s="7">
        <v>3</v>
      </c>
      <c r="E56" s="7" t="s">
        <v>11</v>
      </c>
    </row>
    <row r="57" spans="1:5" s="9" customFormat="1" ht="15.6" x14ac:dyDescent="0.3">
      <c r="A57" s="7">
        <v>56</v>
      </c>
      <c r="B57" s="19" t="s">
        <v>125</v>
      </c>
      <c r="C57" s="7">
        <v>3</v>
      </c>
      <c r="D57" s="7">
        <v>3</v>
      </c>
      <c r="E57" s="7" t="s">
        <v>11</v>
      </c>
    </row>
    <row r="58" spans="1:5" s="9" customFormat="1" ht="15.6" x14ac:dyDescent="0.3">
      <c r="A58" s="7">
        <v>57</v>
      </c>
      <c r="B58" s="19" t="s">
        <v>126</v>
      </c>
      <c r="C58" s="7">
        <v>4</v>
      </c>
      <c r="D58" s="7">
        <v>4</v>
      </c>
      <c r="E58" s="7" t="s">
        <v>11</v>
      </c>
    </row>
    <row r="59" spans="1:5" s="12" customFormat="1" ht="15.6" x14ac:dyDescent="0.3">
      <c r="A59" s="10">
        <v>58</v>
      </c>
      <c r="B59" s="21" t="s">
        <v>127</v>
      </c>
      <c r="C59" s="10">
        <v>1</v>
      </c>
      <c r="D59" s="10">
        <v>1</v>
      </c>
      <c r="E59" s="10" t="s">
        <v>12</v>
      </c>
    </row>
    <row r="60" spans="1:5" s="9" customFormat="1" ht="15.6" x14ac:dyDescent="0.3">
      <c r="A60" s="7">
        <v>59</v>
      </c>
      <c r="B60" s="19" t="s">
        <v>128</v>
      </c>
      <c r="C60" s="7">
        <v>3</v>
      </c>
      <c r="D60" s="7">
        <v>3</v>
      </c>
      <c r="E60" s="7" t="s">
        <v>11</v>
      </c>
    </row>
    <row r="61" spans="1:5" s="15" customFormat="1" ht="15.6" x14ac:dyDescent="0.3">
      <c r="A61" s="13">
        <v>60</v>
      </c>
      <c r="B61" s="20" t="s">
        <v>129</v>
      </c>
      <c r="C61" s="13">
        <v>1</v>
      </c>
      <c r="D61" s="13">
        <v>3</v>
      </c>
      <c r="E61" s="13" t="s">
        <v>13</v>
      </c>
    </row>
    <row r="62" spans="1:5" s="9" customFormat="1" ht="15.6" x14ac:dyDescent="0.3">
      <c r="A62" s="7">
        <v>61</v>
      </c>
      <c r="B62" s="19" t="s">
        <v>130</v>
      </c>
      <c r="C62" s="7">
        <v>3</v>
      </c>
      <c r="D62" s="7">
        <v>3</v>
      </c>
      <c r="E62" s="7" t="s">
        <v>11</v>
      </c>
    </row>
    <row r="63" spans="1:5" s="9" customFormat="1" ht="15.6" x14ac:dyDescent="0.3">
      <c r="A63" s="7">
        <v>62</v>
      </c>
      <c r="B63" s="19" t="s">
        <v>131</v>
      </c>
      <c r="C63" s="7">
        <v>3</v>
      </c>
      <c r="D63" s="7">
        <v>4</v>
      </c>
      <c r="E63" s="7" t="s">
        <v>11</v>
      </c>
    </row>
    <row r="64" spans="1:5" s="9" customFormat="1" ht="15.6" x14ac:dyDescent="0.3">
      <c r="A64" s="7">
        <v>63</v>
      </c>
      <c r="B64" s="19" t="s">
        <v>132</v>
      </c>
      <c r="C64" s="7">
        <v>3</v>
      </c>
      <c r="D64" s="7">
        <v>3</v>
      </c>
      <c r="E64" s="7" t="s">
        <v>11</v>
      </c>
    </row>
    <row r="65" spans="1:5" s="9" customFormat="1" ht="15.6" x14ac:dyDescent="0.3">
      <c r="A65" s="7">
        <v>64</v>
      </c>
      <c r="B65" s="19" t="s">
        <v>133</v>
      </c>
      <c r="C65" s="7">
        <v>3</v>
      </c>
      <c r="D65" s="7">
        <v>4</v>
      </c>
      <c r="E65" s="7" t="s">
        <v>11</v>
      </c>
    </row>
    <row r="66" spans="1:5" s="9" customFormat="1" ht="15.6" x14ac:dyDescent="0.3">
      <c r="A66" s="7">
        <v>65</v>
      </c>
      <c r="B66" s="19" t="s">
        <v>134</v>
      </c>
      <c r="C66" s="7">
        <v>3</v>
      </c>
      <c r="D66" s="7">
        <v>3</v>
      </c>
      <c r="E66" s="7" t="s">
        <v>11</v>
      </c>
    </row>
    <row r="67" spans="1:5" s="9" customFormat="1" ht="15.6" x14ac:dyDescent="0.3">
      <c r="A67" s="7">
        <v>66</v>
      </c>
      <c r="B67" s="19" t="s">
        <v>135</v>
      </c>
      <c r="C67" s="7">
        <v>3</v>
      </c>
      <c r="D67" s="7">
        <v>4</v>
      </c>
      <c r="E67" s="7" t="s">
        <v>11</v>
      </c>
    </row>
    <row r="68" spans="1:5" s="9" customFormat="1" ht="15.6" x14ac:dyDescent="0.3">
      <c r="A68" s="7">
        <v>67</v>
      </c>
      <c r="B68" s="19" t="s">
        <v>136</v>
      </c>
      <c r="C68" s="7">
        <v>3</v>
      </c>
      <c r="D68" s="7">
        <v>3</v>
      </c>
      <c r="E68" s="7" t="s">
        <v>11</v>
      </c>
    </row>
    <row r="69" spans="1:5" s="9" customFormat="1" ht="15.6" x14ac:dyDescent="0.3">
      <c r="A69" s="7">
        <v>68</v>
      </c>
      <c r="B69" s="19" t="s">
        <v>137</v>
      </c>
      <c r="C69" s="7">
        <v>3</v>
      </c>
      <c r="D69" s="7">
        <v>3</v>
      </c>
      <c r="E69" s="7" t="s">
        <v>11</v>
      </c>
    </row>
    <row r="70" spans="1:5" s="18" customFormat="1" ht="15.6" x14ac:dyDescent="0.3">
      <c r="A70" s="16">
        <v>69</v>
      </c>
      <c r="B70" s="22" t="s">
        <v>138</v>
      </c>
      <c r="C70" s="16">
        <v>3</v>
      </c>
      <c r="D70" s="16">
        <v>2</v>
      </c>
      <c r="E70" s="16" t="s">
        <v>14</v>
      </c>
    </row>
    <row r="71" spans="1:5" s="9" customFormat="1" ht="15.6" x14ac:dyDescent="0.3">
      <c r="A71" s="7">
        <v>70</v>
      </c>
      <c r="B71" s="19" t="s">
        <v>139</v>
      </c>
      <c r="C71" s="7">
        <v>3</v>
      </c>
      <c r="D71" s="7">
        <v>3</v>
      </c>
      <c r="E71" s="7" t="s">
        <v>11</v>
      </c>
    </row>
    <row r="72" spans="1:5" s="9" customFormat="1" ht="15.6" x14ac:dyDescent="0.3">
      <c r="A72" s="7">
        <v>71</v>
      </c>
      <c r="B72" s="19" t="s">
        <v>140</v>
      </c>
      <c r="C72" s="7">
        <v>3</v>
      </c>
      <c r="D72" s="7">
        <v>3</v>
      </c>
      <c r="E72" s="7" t="s">
        <v>11</v>
      </c>
    </row>
    <row r="73" spans="1:5" s="18" customFormat="1" ht="15.6" x14ac:dyDescent="0.3">
      <c r="A73" s="16">
        <v>72</v>
      </c>
      <c r="B73" s="22" t="s">
        <v>141</v>
      </c>
      <c r="C73" s="16">
        <v>3</v>
      </c>
      <c r="D73" s="16">
        <v>2</v>
      </c>
      <c r="E73" s="16" t="s">
        <v>14</v>
      </c>
    </row>
    <row r="74" spans="1:5" s="9" customFormat="1" ht="15.6" x14ac:dyDescent="0.3">
      <c r="A74" s="7">
        <v>73</v>
      </c>
      <c r="B74" s="19" t="s">
        <v>142</v>
      </c>
      <c r="C74" s="7">
        <v>3</v>
      </c>
      <c r="D74" s="7">
        <v>3</v>
      </c>
      <c r="E74" s="7" t="s">
        <v>11</v>
      </c>
    </row>
    <row r="75" spans="1:5" s="9" customFormat="1" ht="15.6" x14ac:dyDescent="0.3">
      <c r="A75" s="7">
        <v>74</v>
      </c>
      <c r="B75" s="19" t="s">
        <v>143</v>
      </c>
      <c r="C75" s="7">
        <v>3</v>
      </c>
      <c r="D75" s="7">
        <v>3</v>
      </c>
      <c r="E75" s="7" t="s">
        <v>11</v>
      </c>
    </row>
    <row r="76" spans="1:5" s="9" customFormat="1" ht="15.6" x14ac:dyDescent="0.3">
      <c r="A76" s="7">
        <v>75</v>
      </c>
      <c r="B76" s="19" t="s">
        <v>144</v>
      </c>
      <c r="C76" s="7">
        <v>3</v>
      </c>
      <c r="D76" s="7">
        <v>3</v>
      </c>
      <c r="E76" s="7" t="s">
        <v>11</v>
      </c>
    </row>
    <row r="77" spans="1:5" s="9" customFormat="1" ht="15.6" x14ac:dyDescent="0.3">
      <c r="A77" s="7">
        <v>76</v>
      </c>
      <c r="B77" s="19" t="s">
        <v>145</v>
      </c>
      <c r="C77" s="7">
        <v>3</v>
      </c>
      <c r="D77" s="7">
        <v>3</v>
      </c>
      <c r="E77" s="7" t="s">
        <v>11</v>
      </c>
    </row>
    <row r="78" spans="1:5" s="9" customFormat="1" ht="15.6" x14ac:dyDescent="0.3">
      <c r="A78" s="7">
        <v>77</v>
      </c>
      <c r="B78" s="19" t="s">
        <v>146</v>
      </c>
      <c r="C78" s="7">
        <v>3</v>
      </c>
      <c r="D78" s="7">
        <v>3</v>
      </c>
      <c r="E78" s="7" t="s">
        <v>11</v>
      </c>
    </row>
    <row r="79" spans="1:5" s="9" customFormat="1" ht="15.6" x14ac:dyDescent="0.3">
      <c r="A79" s="7">
        <v>78</v>
      </c>
      <c r="B79" s="19" t="s">
        <v>147</v>
      </c>
      <c r="C79" s="7">
        <v>3</v>
      </c>
      <c r="D79" s="7">
        <v>3</v>
      </c>
      <c r="E79" s="7" t="s">
        <v>11</v>
      </c>
    </row>
    <row r="80" spans="1:5" s="9" customFormat="1" ht="15.6" x14ac:dyDescent="0.3">
      <c r="A80" s="7">
        <v>79</v>
      </c>
      <c r="B80" s="19" t="s">
        <v>148</v>
      </c>
      <c r="C80" s="7">
        <v>3</v>
      </c>
      <c r="D80" s="7">
        <v>3</v>
      </c>
      <c r="E80" s="7" t="s">
        <v>11</v>
      </c>
    </row>
    <row r="81" spans="1:5" s="9" customFormat="1" ht="15.6" x14ac:dyDescent="0.3">
      <c r="A81" s="7">
        <v>80</v>
      </c>
      <c r="B81" s="19" t="s">
        <v>149</v>
      </c>
      <c r="C81" s="7">
        <v>3</v>
      </c>
      <c r="D81" s="7">
        <v>3</v>
      </c>
      <c r="E81" s="7" t="s">
        <v>11</v>
      </c>
    </row>
    <row r="82" spans="1:5" s="9" customFormat="1" ht="15.6" x14ac:dyDescent="0.3">
      <c r="A82" s="7">
        <v>81</v>
      </c>
      <c r="B82" s="19" t="s">
        <v>150</v>
      </c>
      <c r="C82" s="7">
        <v>3</v>
      </c>
      <c r="D82" s="7">
        <v>3</v>
      </c>
      <c r="E82" s="7" t="s">
        <v>11</v>
      </c>
    </row>
    <row r="83" spans="1:5" s="9" customFormat="1" ht="15.6" x14ac:dyDescent="0.3">
      <c r="A83" s="7">
        <v>82</v>
      </c>
      <c r="B83" s="19" t="s">
        <v>151</v>
      </c>
      <c r="C83" s="7">
        <v>4</v>
      </c>
      <c r="D83" s="7">
        <v>4</v>
      </c>
      <c r="E83" s="7" t="s">
        <v>11</v>
      </c>
    </row>
    <row r="84" spans="1:5" s="9" customFormat="1" ht="15.6" x14ac:dyDescent="0.3">
      <c r="A84" s="7">
        <v>83</v>
      </c>
      <c r="B84" s="19" t="s">
        <v>152</v>
      </c>
      <c r="C84" s="7">
        <v>3</v>
      </c>
      <c r="D84" s="7">
        <v>3</v>
      </c>
      <c r="E84" s="7" t="s">
        <v>11</v>
      </c>
    </row>
    <row r="85" spans="1:5" s="9" customFormat="1" ht="15.6" x14ac:dyDescent="0.3">
      <c r="A85" s="7">
        <v>84</v>
      </c>
      <c r="B85" s="19" t="s">
        <v>153</v>
      </c>
      <c r="C85" s="7">
        <v>3</v>
      </c>
      <c r="D85" s="7">
        <v>3</v>
      </c>
      <c r="E85" s="7" t="s">
        <v>11</v>
      </c>
    </row>
    <row r="86" spans="1:5" s="9" customFormat="1" ht="15.6" x14ac:dyDescent="0.3">
      <c r="A86" s="7">
        <v>85</v>
      </c>
      <c r="B86" s="19" t="s">
        <v>154</v>
      </c>
      <c r="C86" s="7">
        <v>3</v>
      </c>
      <c r="D86" s="7">
        <v>3</v>
      </c>
      <c r="E86" s="7" t="s">
        <v>11</v>
      </c>
    </row>
    <row r="87" spans="1:5" s="12" customFormat="1" ht="15.6" x14ac:dyDescent="0.3">
      <c r="A87" s="10">
        <v>86</v>
      </c>
      <c r="B87" s="21" t="s">
        <v>155</v>
      </c>
      <c r="C87" s="10">
        <v>1</v>
      </c>
      <c r="D87" s="10">
        <v>2</v>
      </c>
      <c r="E87" s="10" t="s">
        <v>12</v>
      </c>
    </row>
    <row r="88" spans="1:5" s="18" customFormat="1" ht="15.6" x14ac:dyDescent="0.3">
      <c r="A88" s="16">
        <v>87</v>
      </c>
      <c r="B88" s="22" t="s">
        <v>156</v>
      </c>
      <c r="C88" s="16">
        <v>3</v>
      </c>
      <c r="D88" s="16">
        <v>2</v>
      </c>
      <c r="E88" s="16" t="s">
        <v>14</v>
      </c>
    </row>
    <row r="89" spans="1:5" s="18" customFormat="1" ht="15.6" x14ac:dyDescent="0.3">
      <c r="A89" s="16">
        <v>88</v>
      </c>
      <c r="B89" s="22" t="s">
        <v>157</v>
      </c>
      <c r="C89" s="16">
        <v>3</v>
      </c>
      <c r="D89" s="16">
        <v>2</v>
      </c>
      <c r="E89" s="16" t="s">
        <v>14</v>
      </c>
    </row>
    <row r="90" spans="1:5" s="9" customFormat="1" ht="15.6" x14ac:dyDescent="0.3">
      <c r="A90" s="7">
        <v>89</v>
      </c>
      <c r="B90" s="19" t="s">
        <v>158</v>
      </c>
      <c r="C90" s="7">
        <v>3</v>
      </c>
      <c r="D90" s="7">
        <v>3</v>
      </c>
      <c r="E90" s="7" t="s">
        <v>11</v>
      </c>
    </row>
    <row r="91" spans="1:5" s="18" customFormat="1" ht="15.6" x14ac:dyDescent="0.3">
      <c r="A91" s="16">
        <v>90</v>
      </c>
      <c r="B91" s="22" t="s">
        <v>159</v>
      </c>
      <c r="C91" s="16">
        <v>3</v>
      </c>
      <c r="D91" s="16">
        <v>2</v>
      </c>
      <c r="E91" s="16" t="s">
        <v>14</v>
      </c>
    </row>
    <row r="92" spans="1:5" s="9" customFormat="1" ht="15.6" x14ac:dyDescent="0.3">
      <c r="A92" s="7">
        <v>91</v>
      </c>
      <c r="B92" s="19" t="s">
        <v>160</v>
      </c>
      <c r="C92" s="7">
        <v>3</v>
      </c>
      <c r="D92" s="7">
        <v>3</v>
      </c>
      <c r="E92" s="7" t="s">
        <v>11</v>
      </c>
    </row>
    <row r="93" spans="1:5" s="9" customFormat="1" ht="15.6" x14ac:dyDescent="0.3">
      <c r="A93" s="7">
        <v>92</v>
      </c>
      <c r="B93" s="19" t="s">
        <v>161</v>
      </c>
      <c r="C93" s="7">
        <v>3</v>
      </c>
      <c r="D93" s="7">
        <v>3</v>
      </c>
      <c r="E93" s="7" t="s">
        <v>11</v>
      </c>
    </row>
    <row r="94" spans="1:5" s="9" customFormat="1" ht="15.6" x14ac:dyDescent="0.3">
      <c r="A94" s="7">
        <v>93</v>
      </c>
      <c r="B94" s="19" t="s">
        <v>162</v>
      </c>
      <c r="C94" s="7">
        <v>3</v>
      </c>
      <c r="D94" s="7">
        <v>3</v>
      </c>
      <c r="E94" s="7" t="s">
        <v>11</v>
      </c>
    </row>
    <row r="95" spans="1:5" s="9" customFormat="1" ht="15.6" x14ac:dyDescent="0.3">
      <c r="A95" s="7">
        <v>94</v>
      </c>
      <c r="B95" s="19" t="s">
        <v>163</v>
      </c>
      <c r="C95" s="7">
        <v>3</v>
      </c>
      <c r="D95" s="7">
        <v>3</v>
      </c>
      <c r="E95" s="7" t="s">
        <v>11</v>
      </c>
    </row>
    <row r="96" spans="1:5" s="9" customFormat="1" ht="15.6" x14ac:dyDescent="0.3">
      <c r="A96" s="7">
        <v>95</v>
      </c>
      <c r="B96" s="19" t="s">
        <v>164</v>
      </c>
      <c r="C96" s="7">
        <v>3</v>
      </c>
      <c r="D96" s="7">
        <v>3</v>
      </c>
      <c r="E96" s="7" t="s">
        <v>11</v>
      </c>
    </row>
    <row r="97" spans="1:5" s="9" customFormat="1" ht="15.6" x14ac:dyDescent="0.3">
      <c r="A97" s="7">
        <v>96</v>
      </c>
      <c r="B97" s="19" t="s">
        <v>165</v>
      </c>
      <c r="C97" s="7">
        <v>3</v>
      </c>
      <c r="D97" s="7">
        <v>3</v>
      </c>
      <c r="E97" s="7" t="s">
        <v>11</v>
      </c>
    </row>
    <row r="98" spans="1:5" s="12" customFormat="1" ht="15.6" x14ac:dyDescent="0.3">
      <c r="A98" s="10">
        <v>97</v>
      </c>
      <c r="B98" s="21" t="s">
        <v>166</v>
      </c>
      <c r="C98" s="10">
        <v>1</v>
      </c>
      <c r="D98" s="10">
        <v>2</v>
      </c>
      <c r="E98" s="10" t="s">
        <v>12</v>
      </c>
    </row>
    <row r="99" spans="1:5" s="12" customFormat="1" ht="15.6" x14ac:dyDescent="0.3">
      <c r="A99" s="10">
        <v>98</v>
      </c>
      <c r="B99" s="21" t="s">
        <v>167</v>
      </c>
      <c r="C99" s="10">
        <v>1</v>
      </c>
      <c r="D99" s="10">
        <v>1</v>
      </c>
      <c r="E99" s="10" t="s">
        <v>12</v>
      </c>
    </row>
    <row r="100" spans="1:5" s="12" customFormat="1" ht="15.6" x14ac:dyDescent="0.3">
      <c r="A100" s="10">
        <v>99</v>
      </c>
      <c r="B100" s="21" t="s">
        <v>168</v>
      </c>
      <c r="C100" s="10">
        <v>1</v>
      </c>
      <c r="D100" s="10">
        <v>1</v>
      </c>
      <c r="E100" s="10" t="s">
        <v>12</v>
      </c>
    </row>
    <row r="101" spans="1:5" s="9" customFormat="1" ht="15.6" x14ac:dyDescent="0.3">
      <c r="A101" s="7">
        <v>100</v>
      </c>
      <c r="B101" s="19" t="s">
        <v>169</v>
      </c>
      <c r="C101" s="7">
        <v>3</v>
      </c>
      <c r="D101" s="7">
        <v>4</v>
      </c>
      <c r="E101" s="7" t="s">
        <v>11</v>
      </c>
    </row>
    <row r="102" spans="1:5" s="12" customFormat="1" ht="15.6" x14ac:dyDescent="0.3">
      <c r="A102" s="10">
        <v>101</v>
      </c>
      <c r="B102" s="21" t="s">
        <v>170</v>
      </c>
      <c r="C102" s="10">
        <v>1</v>
      </c>
      <c r="D102" s="10">
        <v>2</v>
      </c>
      <c r="E102" s="10" t="s">
        <v>12</v>
      </c>
    </row>
    <row r="103" spans="1:5" s="15" customFormat="1" ht="15.6" x14ac:dyDescent="0.3">
      <c r="A103" s="13">
        <v>102</v>
      </c>
      <c r="B103" s="20" t="s">
        <v>171</v>
      </c>
      <c r="C103" s="13">
        <v>1</v>
      </c>
      <c r="D103" s="13">
        <v>3</v>
      </c>
      <c r="E103" s="13" t="s">
        <v>13</v>
      </c>
    </row>
    <row r="104" spans="1:5" s="12" customFormat="1" ht="15.6" x14ac:dyDescent="0.3">
      <c r="A104" s="10">
        <v>103</v>
      </c>
      <c r="B104" s="21" t="s">
        <v>172</v>
      </c>
      <c r="C104" s="10">
        <v>1</v>
      </c>
      <c r="D104" s="10">
        <v>2</v>
      </c>
      <c r="E104" s="10" t="s">
        <v>12</v>
      </c>
    </row>
    <row r="105" spans="1:5" s="9" customFormat="1" ht="15.6" x14ac:dyDescent="0.3">
      <c r="A105" s="7">
        <v>104</v>
      </c>
      <c r="B105" s="19" t="s">
        <v>173</v>
      </c>
      <c r="C105" s="7">
        <v>3</v>
      </c>
      <c r="D105" s="7">
        <v>4</v>
      </c>
      <c r="E105" s="7" t="s">
        <v>11</v>
      </c>
    </row>
    <row r="106" spans="1:5" s="9" customFormat="1" ht="15.6" x14ac:dyDescent="0.3">
      <c r="A106" s="7">
        <v>105</v>
      </c>
      <c r="B106" s="19" t="s">
        <v>174</v>
      </c>
      <c r="C106" s="7">
        <v>3</v>
      </c>
      <c r="D106" s="7">
        <v>4</v>
      </c>
      <c r="E106" s="7" t="s">
        <v>11</v>
      </c>
    </row>
    <row r="107" spans="1:5" s="12" customFormat="1" ht="15.6" x14ac:dyDescent="0.3">
      <c r="A107" s="10">
        <v>106</v>
      </c>
      <c r="B107" s="21" t="s">
        <v>175</v>
      </c>
      <c r="C107" s="10">
        <v>1</v>
      </c>
      <c r="D107" s="10">
        <v>2</v>
      </c>
      <c r="E107" s="10" t="s">
        <v>12</v>
      </c>
    </row>
    <row r="108" spans="1:5" s="9" customFormat="1" ht="15.6" x14ac:dyDescent="0.3">
      <c r="A108" s="7">
        <v>107</v>
      </c>
      <c r="B108" s="19" t="s">
        <v>176</v>
      </c>
      <c r="C108" s="7">
        <v>3</v>
      </c>
      <c r="D108" s="7">
        <v>3</v>
      </c>
      <c r="E108" s="7" t="s">
        <v>11</v>
      </c>
    </row>
    <row r="109" spans="1:5" s="18" customFormat="1" ht="15.6" x14ac:dyDescent="0.3">
      <c r="A109" s="16">
        <v>108</v>
      </c>
      <c r="B109" s="22" t="s">
        <v>177</v>
      </c>
      <c r="C109" s="16">
        <v>3</v>
      </c>
      <c r="D109" s="16">
        <v>2</v>
      </c>
      <c r="E109" s="16" t="s">
        <v>14</v>
      </c>
    </row>
    <row r="110" spans="1:5" s="18" customFormat="1" ht="15.6" x14ac:dyDescent="0.3">
      <c r="A110" s="16">
        <v>109</v>
      </c>
      <c r="B110" s="22" t="s">
        <v>178</v>
      </c>
      <c r="C110" s="16">
        <v>3</v>
      </c>
      <c r="D110" s="16">
        <v>2</v>
      </c>
      <c r="E110" s="16" t="s">
        <v>14</v>
      </c>
    </row>
    <row r="111" spans="1:5" s="9" customFormat="1" ht="15.6" x14ac:dyDescent="0.3">
      <c r="A111" s="7">
        <v>110</v>
      </c>
      <c r="B111" s="19" t="s">
        <v>179</v>
      </c>
      <c r="C111" s="7">
        <v>3</v>
      </c>
      <c r="D111" s="7">
        <v>3</v>
      </c>
      <c r="E111" s="7" t="s">
        <v>11</v>
      </c>
    </row>
    <row r="112" spans="1:5" s="15" customFormat="1" ht="15.6" x14ac:dyDescent="0.3">
      <c r="A112" s="13">
        <v>111</v>
      </c>
      <c r="B112" s="20" t="s">
        <v>180</v>
      </c>
      <c r="C112" s="13">
        <v>1</v>
      </c>
      <c r="D112" s="13">
        <v>3</v>
      </c>
      <c r="E112" s="13" t="s">
        <v>13</v>
      </c>
    </row>
    <row r="113" spans="1:5" s="9" customFormat="1" ht="15.6" x14ac:dyDescent="0.3">
      <c r="A113" s="7">
        <v>112</v>
      </c>
      <c r="B113" s="19" t="s">
        <v>232</v>
      </c>
      <c r="C113" s="7">
        <v>4</v>
      </c>
      <c r="D113" s="7">
        <v>3</v>
      </c>
      <c r="E113" s="7" t="s">
        <v>11</v>
      </c>
    </row>
    <row r="114" spans="1:5" s="9" customFormat="1" ht="15.6" x14ac:dyDescent="0.3">
      <c r="A114" s="7">
        <v>113</v>
      </c>
      <c r="B114" s="19" t="s">
        <v>181</v>
      </c>
      <c r="C114" s="7">
        <v>4</v>
      </c>
      <c r="D114" s="7">
        <v>4</v>
      </c>
      <c r="E114" s="7" t="s">
        <v>11</v>
      </c>
    </row>
    <row r="115" spans="1:5" s="9" customFormat="1" ht="15.6" x14ac:dyDescent="0.3">
      <c r="A115" s="7">
        <v>114</v>
      </c>
      <c r="B115" s="19" t="s">
        <v>182</v>
      </c>
      <c r="C115" s="7">
        <v>4</v>
      </c>
      <c r="D115" s="7">
        <v>4</v>
      </c>
      <c r="E115" s="7" t="s">
        <v>11</v>
      </c>
    </row>
    <row r="116" spans="1:5" s="9" customFormat="1" ht="15.6" x14ac:dyDescent="0.3">
      <c r="A116" s="7">
        <v>115</v>
      </c>
      <c r="B116" s="19" t="s">
        <v>183</v>
      </c>
      <c r="C116" s="7">
        <v>3</v>
      </c>
      <c r="D116" s="7">
        <v>4</v>
      </c>
      <c r="E116" s="7" t="s">
        <v>11</v>
      </c>
    </row>
    <row r="117" spans="1:5" s="9" customFormat="1" ht="15.6" x14ac:dyDescent="0.3">
      <c r="A117" s="7">
        <v>116</v>
      </c>
      <c r="B117" s="19" t="s">
        <v>184</v>
      </c>
      <c r="C117" s="7">
        <v>3</v>
      </c>
      <c r="D117" s="7">
        <v>3</v>
      </c>
      <c r="E117" s="7" t="s">
        <v>11</v>
      </c>
    </row>
    <row r="118" spans="1:5" s="9" customFormat="1" ht="15.6" x14ac:dyDescent="0.3">
      <c r="A118" s="7">
        <v>117</v>
      </c>
      <c r="B118" s="19" t="s">
        <v>185</v>
      </c>
      <c r="C118" s="7">
        <v>3</v>
      </c>
      <c r="D118" s="7">
        <v>3</v>
      </c>
      <c r="E118" s="7" t="s">
        <v>11</v>
      </c>
    </row>
    <row r="119" spans="1:5" s="9" customFormat="1" ht="15.6" x14ac:dyDescent="0.3">
      <c r="A119" s="7">
        <v>118</v>
      </c>
      <c r="B119" s="19" t="s">
        <v>186</v>
      </c>
      <c r="C119" s="7">
        <v>3</v>
      </c>
      <c r="D119" s="7">
        <v>3</v>
      </c>
      <c r="E119" s="7" t="s">
        <v>11</v>
      </c>
    </row>
    <row r="120" spans="1:5" s="9" customFormat="1" ht="15.6" x14ac:dyDescent="0.3">
      <c r="A120" s="7">
        <v>119</v>
      </c>
      <c r="B120" s="19" t="s">
        <v>187</v>
      </c>
      <c r="C120" s="7">
        <v>3</v>
      </c>
      <c r="D120" s="7">
        <v>3</v>
      </c>
      <c r="E120" s="7" t="s">
        <v>11</v>
      </c>
    </row>
    <row r="121" spans="1:5" s="9" customFormat="1" ht="15.6" x14ac:dyDescent="0.3">
      <c r="A121" s="7">
        <v>120</v>
      </c>
      <c r="B121" s="19" t="s">
        <v>188</v>
      </c>
      <c r="C121" s="7">
        <v>3</v>
      </c>
      <c r="D121" s="7">
        <v>3</v>
      </c>
      <c r="E121" s="7" t="s">
        <v>11</v>
      </c>
    </row>
    <row r="122" spans="1:5" s="18" customFormat="1" ht="15.6" x14ac:dyDescent="0.3">
      <c r="A122" s="16">
        <v>121</v>
      </c>
      <c r="B122" s="22" t="s">
        <v>189</v>
      </c>
      <c r="C122" s="16">
        <v>3</v>
      </c>
      <c r="D122" s="16">
        <v>1</v>
      </c>
      <c r="E122" s="16" t="s">
        <v>14</v>
      </c>
    </row>
    <row r="123" spans="1:5" s="9" customFormat="1" ht="15.6" x14ac:dyDescent="0.3">
      <c r="A123" s="7">
        <v>122</v>
      </c>
      <c r="B123" s="19" t="s">
        <v>190</v>
      </c>
      <c r="C123" s="7">
        <v>3</v>
      </c>
      <c r="D123" s="7">
        <v>3</v>
      </c>
      <c r="E123" s="7" t="s">
        <v>11</v>
      </c>
    </row>
    <row r="124" spans="1:5" s="9" customFormat="1" ht="15.6" x14ac:dyDescent="0.3">
      <c r="A124" s="7">
        <v>123</v>
      </c>
      <c r="B124" s="19" t="s">
        <v>191</v>
      </c>
      <c r="C124" s="7">
        <v>3</v>
      </c>
      <c r="D124" s="7">
        <v>3</v>
      </c>
      <c r="E124" s="7" t="s">
        <v>11</v>
      </c>
    </row>
    <row r="125" spans="1:5" s="9" customFormat="1" ht="15.6" x14ac:dyDescent="0.3">
      <c r="A125" s="7">
        <v>124</v>
      </c>
      <c r="B125" s="19" t="s">
        <v>192</v>
      </c>
      <c r="C125" s="7">
        <v>3</v>
      </c>
      <c r="D125" s="7">
        <v>4</v>
      </c>
      <c r="E125" s="7" t="s">
        <v>11</v>
      </c>
    </row>
    <row r="126" spans="1:5" s="9" customFormat="1" ht="15.6" x14ac:dyDescent="0.3">
      <c r="A126" s="7">
        <v>125</v>
      </c>
      <c r="B126" s="19" t="s">
        <v>193</v>
      </c>
      <c r="C126" s="7">
        <v>3</v>
      </c>
      <c r="D126" s="7">
        <v>3</v>
      </c>
      <c r="E126" s="7" t="s">
        <v>11</v>
      </c>
    </row>
    <row r="127" spans="1:5" s="9" customFormat="1" ht="15.6" x14ac:dyDescent="0.3">
      <c r="A127" s="7">
        <v>126</v>
      </c>
      <c r="B127" s="19" t="s">
        <v>194</v>
      </c>
      <c r="C127" s="7">
        <v>3</v>
      </c>
      <c r="D127" s="7">
        <v>4</v>
      </c>
      <c r="E127" s="7" t="s">
        <v>11</v>
      </c>
    </row>
    <row r="128" spans="1:5" s="12" customFormat="1" ht="15.6" x14ac:dyDescent="0.3">
      <c r="A128" s="10">
        <v>127</v>
      </c>
      <c r="B128" s="21" t="s">
        <v>195</v>
      </c>
      <c r="C128" s="10">
        <v>1</v>
      </c>
      <c r="D128" s="10">
        <v>2</v>
      </c>
      <c r="E128" s="10" t="s">
        <v>12</v>
      </c>
    </row>
    <row r="129" spans="1:5" s="15" customFormat="1" ht="15.6" x14ac:dyDescent="0.3">
      <c r="A129" s="13">
        <v>128</v>
      </c>
      <c r="B129" s="20" t="s">
        <v>196</v>
      </c>
      <c r="C129" s="13">
        <v>1</v>
      </c>
      <c r="D129" s="13">
        <v>3</v>
      </c>
      <c r="E129" s="13" t="s">
        <v>13</v>
      </c>
    </row>
    <row r="130" spans="1:5" s="15" customFormat="1" ht="15.6" x14ac:dyDescent="0.3">
      <c r="A130" s="13">
        <v>129</v>
      </c>
      <c r="B130" s="20" t="s">
        <v>197</v>
      </c>
      <c r="C130" s="13">
        <v>1</v>
      </c>
      <c r="D130" s="13">
        <v>3</v>
      </c>
      <c r="E130" s="13" t="s">
        <v>13</v>
      </c>
    </row>
    <row r="131" spans="1:5" s="15" customFormat="1" ht="15.6" x14ac:dyDescent="0.3">
      <c r="A131" s="13">
        <v>130</v>
      </c>
      <c r="B131" s="20" t="s">
        <v>198</v>
      </c>
      <c r="C131" s="13">
        <v>1</v>
      </c>
      <c r="D131" s="13">
        <v>3</v>
      </c>
      <c r="E131" s="13" t="s">
        <v>13</v>
      </c>
    </row>
    <row r="132" spans="1:5" s="15" customFormat="1" ht="15.6" x14ac:dyDescent="0.3">
      <c r="A132" s="13">
        <v>131</v>
      </c>
      <c r="B132" s="20" t="s">
        <v>199</v>
      </c>
      <c r="C132" s="13">
        <v>1</v>
      </c>
      <c r="D132" s="13">
        <v>3</v>
      </c>
      <c r="E132" s="13" t="s">
        <v>13</v>
      </c>
    </row>
    <row r="133" spans="1:5" s="15" customFormat="1" ht="15.6" x14ac:dyDescent="0.3">
      <c r="A133" s="13">
        <v>132</v>
      </c>
      <c r="B133" s="20" t="s">
        <v>200</v>
      </c>
      <c r="C133" s="13">
        <v>1</v>
      </c>
      <c r="D133" s="13">
        <v>3</v>
      </c>
      <c r="E133" s="13" t="s">
        <v>13</v>
      </c>
    </row>
    <row r="134" spans="1:5" s="15" customFormat="1" ht="15.6" x14ac:dyDescent="0.3">
      <c r="A134" s="13">
        <v>133</v>
      </c>
      <c r="B134" s="20" t="s">
        <v>201</v>
      </c>
      <c r="C134" s="13">
        <v>1</v>
      </c>
      <c r="D134" s="13">
        <v>3</v>
      </c>
      <c r="E134" s="13" t="s">
        <v>13</v>
      </c>
    </row>
    <row r="135" spans="1:5" s="15" customFormat="1" ht="15.6" x14ac:dyDescent="0.3">
      <c r="A135" s="13">
        <v>134</v>
      </c>
      <c r="B135" s="20" t="s">
        <v>202</v>
      </c>
      <c r="C135" s="13">
        <v>1</v>
      </c>
      <c r="D135" s="13">
        <v>3</v>
      </c>
      <c r="E135" s="13" t="s">
        <v>13</v>
      </c>
    </row>
    <row r="136" spans="1:5" s="15" customFormat="1" ht="15.6" x14ac:dyDescent="0.3">
      <c r="A136" s="13">
        <v>135</v>
      </c>
      <c r="B136" s="20" t="s">
        <v>203</v>
      </c>
      <c r="C136" s="13">
        <v>1</v>
      </c>
      <c r="D136" s="13">
        <v>3</v>
      </c>
      <c r="E136" s="13" t="s">
        <v>13</v>
      </c>
    </row>
    <row r="137" spans="1:5" s="15" customFormat="1" ht="15.6" x14ac:dyDescent="0.3">
      <c r="A137" s="13">
        <v>136</v>
      </c>
      <c r="B137" s="20" t="s">
        <v>204</v>
      </c>
      <c r="C137" s="13">
        <v>1</v>
      </c>
      <c r="D137" s="13">
        <v>3</v>
      </c>
      <c r="E137" s="13" t="s">
        <v>13</v>
      </c>
    </row>
    <row r="138" spans="1:5" s="15" customFormat="1" ht="15.6" x14ac:dyDescent="0.3">
      <c r="A138" s="13">
        <v>137</v>
      </c>
      <c r="B138" s="20" t="s">
        <v>205</v>
      </c>
      <c r="C138" s="13">
        <v>1</v>
      </c>
      <c r="D138" s="13">
        <v>4</v>
      </c>
      <c r="E138" s="13" t="s">
        <v>13</v>
      </c>
    </row>
    <row r="139" spans="1:5" s="9" customFormat="1" ht="15.6" x14ac:dyDescent="0.3">
      <c r="A139" s="7">
        <v>138</v>
      </c>
      <c r="B139" s="19" t="s">
        <v>206</v>
      </c>
      <c r="C139" s="7">
        <v>3</v>
      </c>
      <c r="D139" s="7">
        <v>3</v>
      </c>
      <c r="E139" s="7" t="s">
        <v>11</v>
      </c>
    </row>
    <row r="140" spans="1:5" s="9" customFormat="1" ht="15.6" x14ac:dyDescent="0.3">
      <c r="A140" s="7">
        <v>139</v>
      </c>
      <c r="B140" s="19" t="s">
        <v>207</v>
      </c>
      <c r="C140" s="7">
        <v>3</v>
      </c>
      <c r="D140" s="7">
        <v>3</v>
      </c>
      <c r="E140" s="7" t="s">
        <v>11</v>
      </c>
    </row>
    <row r="141" spans="1:5" s="9" customFormat="1" ht="15.6" x14ac:dyDescent="0.3">
      <c r="A141" s="7">
        <v>140</v>
      </c>
      <c r="B141" s="19" t="s">
        <v>208</v>
      </c>
      <c r="C141" s="7">
        <v>3</v>
      </c>
      <c r="D141" s="7">
        <v>3</v>
      </c>
      <c r="E141" s="7" t="s">
        <v>11</v>
      </c>
    </row>
    <row r="142" spans="1:5" s="9" customFormat="1" ht="15.6" x14ac:dyDescent="0.3">
      <c r="A142" s="7">
        <v>141</v>
      </c>
      <c r="B142" s="19" t="s">
        <v>209</v>
      </c>
      <c r="C142" s="7">
        <v>3</v>
      </c>
      <c r="D142" s="7">
        <v>3</v>
      </c>
      <c r="E142" s="7" t="s">
        <v>11</v>
      </c>
    </row>
    <row r="143" spans="1:5" s="15" customFormat="1" ht="15.6" x14ac:dyDescent="0.3">
      <c r="A143" s="13">
        <v>142</v>
      </c>
      <c r="B143" s="20" t="s">
        <v>210</v>
      </c>
      <c r="C143" s="13">
        <v>1</v>
      </c>
      <c r="D143" s="13">
        <v>3</v>
      </c>
      <c r="E143" s="13" t="s">
        <v>13</v>
      </c>
    </row>
    <row r="144" spans="1:5" s="9" customFormat="1" ht="15.6" x14ac:dyDescent="0.3">
      <c r="A144" s="7">
        <v>143</v>
      </c>
      <c r="B144" s="19" t="s">
        <v>211</v>
      </c>
      <c r="C144" s="7">
        <v>3</v>
      </c>
      <c r="D144" s="7">
        <v>3</v>
      </c>
      <c r="E144" s="7" t="s">
        <v>11</v>
      </c>
    </row>
    <row r="145" spans="1:5" s="9" customFormat="1" ht="15.6" x14ac:dyDescent="0.3">
      <c r="A145" s="7">
        <v>144</v>
      </c>
      <c r="B145" s="19" t="s">
        <v>212</v>
      </c>
      <c r="C145" s="7">
        <v>3</v>
      </c>
      <c r="D145" s="7">
        <v>3</v>
      </c>
      <c r="E145" s="7" t="s">
        <v>11</v>
      </c>
    </row>
    <row r="146" spans="1:5" s="9" customFormat="1" ht="15.6" x14ac:dyDescent="0.3">
      <c r="A146" s="7">
        <v>145</v>
      </c>
      <c r="B146" s="19" t="s">
        <v>213</v>
      </c>
      <c r="C146" s="7">
        <v>3</v>
      </c>
      <c r="D146" s="7">
        <v>3</v>
      </c>
      <c r="E146" s="7" t="s">
        <v>11</v>
      </c>
    </row>
    <row r="147" spans="1:5" s="18" customFormat="1" ht="15.6" x14ac:dyDescent="0.3">
      <c r="A147" s="16">
        <v>146</v>
      </c>
      <c r="B147" s="22" t="s">
        <v>214</v>
      </c>
      <c r="C147" s="16">
        <v>3</v>
      </c>
      <c r="D147" s="16">
        <v>2</v>
      </c>
      <c r="E147" s="16" t="s">
        <v>14</v>
      </c>
    </row>
    <row r="148" spans="1:5" s="9" customFormat="1" ht="15.6" x14ac:dyDescent="0.3">
      <c r="A148" s="7">
        <v>147</v>
      </c>
      <c r="B148" s="19" t="s">
        <v>215</v>
      </c>
      <c r="C148" s="7">
        <v>3</v>
      </c>
      <c r="D148" s="7">
        <v>3</v>
      </c>
      <c r="E148" s="7" t="s">
        <v>11</v>
      </c>
    </row>
    <row r="149" spans="1:5" s="9" customFormat="1" ht="15.6" x14ac:dyDescent="0.3">
      <c r="A149" s="7">
        <v>148</v>
      </c>
      <c r="B149" s="19" t="s">
        <v>216</v>
      </c>
      <c r="C149" s="7">
        <v>3</v>
      </c>
      <c r="D149" s="7">
        <v>3</v>
      </c>
      <c r="E149" s="7" t="s">
        <v>11</v>
      </c>
    </row>
    <row r="150" spans="1:5" s="9" customFormat="1" ht="15.6" x14ac:dyDescent="0.3">
      <c r="A150" s="7">
        <v>149</v>
      </c>
      <c r="B150" s="19" t="s">
        <v>217</v>
      </c>
      <c r="C150" s="7">
        <v>3</v>
      </c>
      <c r="D150" s="7">
        <v>3</v>
      </c>
      <c r="E150" s="7" t="s">
        <v>11</v>
      </c>
    </row>
    <row r="151" spans="1:5" s="9" customFormat="1" ht="15.6" x14ac:dyDescent="0.3">
      <c r="A151" s="7">
        <v>150</v>
      </c>
      <c r="B151" s="19" t="s">
        <v>218</v>
      </c>
      <c r="C151" s="7">
        <v>3</v>
      </c>
      <c r="D151" s="7">
        <v>3</v>
      </c>
      <c r="E151" s="7" t="s">
        <v>11</v>
      </c>
    </row>
    <row r="152" spans="1:5" s="9" customFormat="1" ht="15.6" x14ac:dyDescent="0.3">
      <c r="A152" s="7">
        <v>151</v>
      </c>
      <c r="B152" s="19" t="s">
        <v>219</v>
      </c>
      <c r="C152" s="7">
        <v>3</v>
      </c>
      <c r="D152" s="7">
        <v>3</v>
      </c>
      <c r="E152" s="7" t="s">
        <v>11</v>
      </c>
    </row>
    <row r="153" spans="1:5" s="9" customFormat="1" ht="15.6" x14ac:dyDescent="0.3">
      <c r="A153" s="7">
        <v>152</v>
      </c>
      <c r="B153" s="19" t="s">
        <v>220</v>
      </c>
      <c r="C153" s="7">
        <v>3</v>
      </c>
      <c r="D153" s="7">
        <v>3</v>
      </c>
      <c r="E153" s="7" t="s">
        <v>11</v>
      </c>
    </row>
    <row r="154" spans="1:5" s="15" customFormat="1" ht="15.6" x14ac:dyDescent="0.3">
      <c r="A154" s="13">
        <v>153</v>
      </c>
      <c r="B154" s="20" t="s">
        <v>221</v>
      </c>
      <c r="C154" s="13">
        <v>1</v>
      </c>
      <c r="D154" s="13">
        <v>3</v>
      </c>
      <c r="E154" s="13" t="s">
        <v>13</v>
      </c>
    </row>
    <row r="155" spans="1:5" s="15" customFormat="1" ht="15.6" x14ac:dyDescent="0.3">
      <c r="A155" s="13">
        <v>154</v>
      </c>
      <c r="B155" s="20" t="s">
        <v>222</v>
      </c>
      <c r="C155" s="13">
        <v>1</v>
      </c>
      <c r="D155" s="13">
        <v>4</v>
      </c>
      <c r="E155" s="13" t="s">
        <v>13</v>
      </c>
    </row>
    <row r="156" spans="1:5" s="9" customFormat="1" ht="15.6" x14ac:dyDescent="0.3">
      <c r="A156" s="7">
        <v>155</v>
      </c>
      <c r="B156" s="19" t="s">
        <v>223</v>
      </c>
      <c r="C156" s="7">
        <v>3</v>
      </c>
      <c r="D156" s="7">
        <v>3</v>
      </c>
      <c r="E156" s="7" t="s">
        <v>11</v>
      </c>
    </row>
    <row r="157" spans="1:5" s="12" customFormat="1" ht="15.6" x14ac:dyDescent="0.3">
      <c r="A157" s="10">
        <v>156</v>
      </c>
      <c r="B157" s="21" t="s">
        <v>224</v>
      </c>
      <c r="C157" s="10">
        <v>1</v>
      </c>
      <c r="D157" s="10">
        <v>2</v>
      </c>
      <c r="E157" s="10" t="s">
        <v>12</v>
      </c>
    </row>
    <row r="158" spans="1:5" s="12" customFormat="1" ht="15.6" x14ac:dyDescent="0.3">
      <c r="A158" s="10">
        <v>157</v>
      </c>
      <c r="B158" s="21" t="s">
        <v>225</v>
      </c>
      <c r="C158" s="10">
        <v>1</v>
      </c>
      <c r="D158" s="10">
        <v>2</v>
      </c>
      <c r="E158" s="10" t="s">
        <v>12</v>
      </c>
    </row>
    <row r="159" spans="1:5" s="9" customFormat="1" ht="15.6" x14ac:dyDescent="0.3">
      <c r="A159" s="7">
        <v>158</v>
      </c>
      <c r="B159" s="19" t="s">
        <v>226</v>
      </c>
      <c r="C159" s="7">
        <v>3</v>
      </c>
      <c r="D159" s="7">
        <v>3</v>
      </c>
      <c r="E159" s="7" t="s">
        <v>11</v>
      </c>
    </row>
    <row r="160" spans="1:5" s="9" customFormat="1" ht="15.6" x14ac:dyDescent="0.3">
      <c r="A160" s="7">
        <v>159</v>
      </c>
      <c r="B160" s="19" t="s">
        <v>227</v>
      </c>
      <c r="C160" s="7">
        <v>3</v>
      </c>
      <c r="D160" s="7">
        <v>4</v>
      </c>
      <c r="E160" s="7" t="s">
        <v>11</v>
      </c>
    </row>
    <row r="161" spans="1:5" s="9" customFormat="1" ht="15.6" x14ac:dyDescent="0.3">
      <c r="A161" s="7">
        <v>160</v>
      </c>
      <c r="B161" s="19" t="s">
        <v>228</v>
      </c>
      <c r="C161" s="7">
        <v>3</v>
      </c>
      <c r="D161" s="7">
        <v>4</v>
      </c>
      <c r="E161" s="7" t="s">
        <v>11</v>
      </c>
    </row>
    <row r="162" spans="1:5" s="9" customFormat="1" ht="15.6" x14ac:dyDescent="0.3">
      <c r="A162" s="7">
        <v>161</v>
      </c>
      <c r="B162" s="19" t="s">
        <v>229</v>
      </c>
      <c r="C162" s="7">
        <v>3</v>
      </c>
      <c r="D162" s="7">
        <v>4</v>
      </c>
      <c r="E162" s="7" t="s">
        <v>11</v>
      </c>
    </row>
    <row r="163" spans="1:5" s="15" customFormat="1" ht="15.6" x14ac:dyDescent="0.3">
      <c r="A163" s="13">
        <v>162</v>
      </c>
      <c r="B163" s="20" t="s">
        <v>230</v>
      </c>
      <c r="C163" s="13">
        <v>1</v>
      </c>
      <c r="D163" s="13">
        <v>3</v>
      </c>
      <c r="E163" s="13" t="s">
        <v>13</v>
      </c>
    </row>
    <row r="164" spans="1:5" s="15" customFormat="1" ht="15.6" x14ac:dyDescent="0.3">
      <c r="A164" s="13">
        <v>163</v>
      </c>
      <c r="B164" s="20" t="s">
        <v>231</v>
      </c>
      <c r="C164" s="13">
        <v>1</v>
      </c>
      <c r="D164" s="13">
        <v>3</v>
      </c>
      <c r="E164" s="13" t="s">
        <v>13</v>
      </c>
    </row>
    <row r="166" spans="1:5" ht="15.6" x14ac:dyDescent="0.3">
      <c r="B166" s="3" t="s">
        <v>266</v>
      </c>
      <c r="C166" s="4">
        <v>89</v>
      </c>
    </row>
    <row r="167" spans="1:5" ht="15.6" x14ac:dyDescent="0.3">
      <c r="B167" s="3" t="s">
        <v>267</v>
      </c>
      <c r="C167" s="4">
        <v>26</v>
      </c>
    </row>
    <row r="168" spans="1:5" ht="15.6" x14ac:dyDescent="0.3">
      <c r="B168" s="3" t="s">
        <v>268</v>
      </c>
      <c r="C168" s="4">
        <v>36</v>
      </c>
    </row>
    <row r="169" spans="1:5" ht="15.6" x14ac:dyDescent="0.3">
      <c r="B169" s="3" t="s">
        <v>269</v>
      </c>
      <c r="C169" s="4">
        <v>12</v>
      </c>
    </row>
    <row r="170" spans="1:5" ht="15.6" x14ac:dyDescent="0.3">
      <c r="B170" s="6"/>
      <c r="C170" s="4"/>
    </row>
    <row r="171" spans="1:5" ht="15.6" x14ac:dyDescent="0.3">
      <c r="B171" s="3" t="s">
        <v>262</v>
      </c>
      <c r="C171" s="4"/>
    </row>
    <row r="172" spans="1:5" ht="15.6" x14ac:dyDescent="0.3">
      <c r="B172" s="3" t="s">
        <v>263</v>
      </c>
      <c r="C172" s="4"/>
    </row>
    <row r="173" spans="1:5" ht="15.6" x14ac:dyDescent="0.3">
      <c r="B173" s="3" t="s">
        <v>264</v>
      </c>
      <c r="C173" s="4"/>
    </row>
    <row r="174" spans="1:5" ht="15.6" x14ac:dyDescent="0.3">
      <c r="B174" s="3" t="s">
        <v>265</v>
      </c>
      <c r="C174" s="4"/>
    </row>
  </sheetData>
  <dataValidations count="3">
    <dataValidation type="whole" allowBlank="1" showInputMessage="1" showErrorMessage="1" sqref="D16 D23" xr:uid="{5C1257C3-5A3D-44FE-B712-2E4E7D907C90}">
      <formula1>0</formula1>
      <formula2>12</formula2>
    </dataValidation>
    <dataValidation type="whole" allowBlank="1" showInputMessage="1" showErrorMessage="1" sqref="D24:D25 D29 D36:D37 D39 D41 D43 D45:D46 D48:D50 D62 D67 D69 D76 D78 D80:D81 D88 D90 D92 D95:D97 D99:D100 D104 D118 D120 D122 D124 D128 D132:D134 D138:D139 D141 D144 D147:D148 D151 D153 D158 D163 D74" xr:uid="{48B6632F-FBAF-47EF-8A14-8209A995800F}">
      <formula1>0</formula1>
      <formula2>7</formula2>
    </dataValidation>
    <dataValidation type="whole" allowBlank="1" showInputMessage="1" showErrorMessage="1" sqref="D2:D15 D17:D22 D26:D28 D30:D35 D42 D40 D38 D47 D44 D70:D73 D68 D63:D66 D77 D79 D82:D87 D93:D94 D91 D89 D101:D103 D98 D51:D61 D123 D121 D119 D105:D117 D135:D137 D129:D131 D145:D146 D142:D143 D140 D152 D149:D150 D161:D162 D159 D154:D157 D164 D125:D127 D75" xr:uid="{600764B7-B0A8-48BC-A984-63E69A44FC87}">
      <formula1>0</formula1>
      <formula2>5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4E96-5FAF-4773-8044-037A84621041}">
  <dimension ref="A1:O22"/>
  <sheetViews>
    <sheetView tabSelected="1" zoomScaleNormal="100" workbookViewId="0">
      <selection activeCell="E21" sqref="E21"/>
    </sheetView>
  </sheetViews>
  <sheetFormatPr defaultRowHeight="14.4" x14ac:dyDescent="0.3"/>
  <cols>
    <col min="1" max="1" width="24.21875" bestFit="1" customWidth="1"/>
    <col min="3" max="3" width="25.44140625" bestFit="1" customWidth="1"/>
    <col min="5" max="5" width="25.44140625" bestFit="1" customWidth="1"/>
    <col min="7" max="7" width="25.44140625" bestFit="1" customWidth="1"/>
    <col min="11" max="11" width="24.21875" bestFit="1" customWidth="1"/>
    <col min="15" max="15" width="25.44140625" bestFit="1" customWidth="1"/>
  </cols>
  <sheetData>
    <row r="1" spans="1:15" ht="15.6" x14ac:dyDescent="0.3">
      <c r="A1" s="212" t="s">
        <v>550</v>
      </c>
      <c r="C1" s="212" t="s">
        <v>549</v>
      </c>
      <c r="E1" s="212" t="s">
        <v>562</v>
      </c>
    </row>
    <row r="2" spans="1:15" ht="16.2" thickBot="1" x14ac:dyDescent="0.35">
      <c r="F2" s="298"/>
      <c r="G2" s="298"/>
      <c r="K2" s="298"/>
      <c r="L2" s="298"/>
      <c r="M2" s="298"/>
      <c r="N2" s="298"/>
      <c r="O2" s="298"/>
    </row>
    <row r="3" spans="1:15" ht="15" customHeight="1" thickBot="1" x14ac:dyDescent="0.35">
      <c r="A3" s="215" t="s">
        <v>233</v>
      </c>
      <c r="C3" s="215" t="s">
        <v>233</v>
      </c>
      <c r="E3" s="215" t="s">
        <v>233</v>
      </c>
      <c r="F3" s="298"/>
      <c r="G3" s="298"/>
      <c r="K3" s="298"/>
      <c r="L3" s="298"/>
      <c r="M3" s="298"/>
      <c r="N3" s="298"/>
      <c r="O3" s="298"/>
    </row>
    <row r="4" spans="1:15" ht="15.6" x14ac:dyDescent="0.3">
      <c r="A4" s="214" t="s">
        <v>537</v>
      </c>
      <c r="C4" s="214" t="s">
        <v>551</v>
      </c>
      <c r="E4" s="214" t="s">
        <v>563</v>
      </c>
      <c r="F4" s="298"/>
      <c r="G4" s="298"/>
      <c r="K4" s="298"/>
      <c r="L4" s="298"/>
      <c r="M4" s="298"/>
      <c r="N4" s="298"/>
      <c r="O4" s="298"/>
    </row>
    <row r="5" spans="1:15" ht="15.6" x14ac:dyDescent="0.3">
      <c r="A5" s="213" t="s">
        <v>538</v>
      </c>
      <c r="C5" s="213" t="s">
        <v>552</v>
      </c>
      <c r="E5" s="213" t="s">
        <v>564</v>
      </c>
      <c r="F5" s="298"/>
      <c r="G5" s="298"/>
      <c r="K5" s="298"/>
      <c r="L5" s="298"/>
      <c r="M5" s="298"/>
      <c r="N5" s="298"/>
      <c r="O5" s="298"/>
    </row>
    <row r="6" spans="1:15" ht="15.6" x14ac:dyDescent="0.3">
      <c r="A6" s="213" t="s">
        <v>539</v>
      </c>
      <c r="C6" s="213" t="s">
        <v>553</v>
      </c>
      <c r="E6" s="213" t="s">
        <v>565</v>
      </c>
      <c r="F6" s="298"/>
      <c r="G6" s="298"/>
      <c r="K6" s="298"/>
      <c r="L6" s="298"/>
      <c r="M6" s="298"/>
      <c r="N6" s="298"/>
      <c r="O6" s="298"/>
    </row>
    <row r="7" spans="1:15" ht="15.6" x14ac:dyDescent="0.3">
      <c r="A7" s="213" t="s">
        <v>540</v>
      </c>
      <c r="C7" s="213" t="s">
        <v>544</v>
      </c>
      <c r="E7" s="213" t="s">
        <v>566</v>
      </c>
      <c r="F7" s="298"/>
      <c r="G7" s="298"/>
      <c r="K7" s="298"/>
      <c r="L7" s="298"/>
      <c r="M7" s="298"/>
      <c r="N7" s="298"/>
      <c r="O7" s="298"/>
    </row>
    <row r="8" spans="1:15" ht="15.6" x14ac:dyDescent="0.3">
      <c r="F8" s="298"/>
      <c r="G8" s="298"/>
      <c r="K8" s="298"/>
      <c r="L8" s="298"/>
      <c r="M8" s="298"/>
      <c r="N8" s="298"/>
      <c r="O8" s="298"/>
    </row>
    <row r="9" spans="1:15" ht="14.4" customHeight="1" thickBot="1" x14ac:dyDescent="0.35">
      <c r="F9" s="298"/>
      <c r="G9" s="298"/>
      <c r="K9" s="298"/>
      <c r="L9" s="298"/>
      <c r="M9" s="298"/>
      <c r="N9" s="298"/>
      <c r="O9" s="298"/>
    </row>
    <row r="10" spans="1:15" ht="15" customHeight="1" thickBot="1" x14ac:dyDescent="0.35">
      <c r="A10" s="218" t="s">
        <v>8</v>
      </c>
      <c r="C10" s="218" t="s">
        <v>8</v>
      </c>
      <c r="E10" s="218" t="s">
        <v>8</v>
      </c>
      <c r="F10" s="298"/>
      <c r="G10" s="298"/>
      <c r="K10" s="298"/>
      <c r="L10" s="298"/>
      <c r="M10" s="298"/>
      <c r="N10" s="298"/>
      <c r="O10" s="298"/>
    </row>
    <row r="11" spans="1:15" ht="15.6" x14ac:dyDescent="0.3">
      <c r="A11" s="217" t="s">
        <v>541</v>
      </c>
      <c r="C11" s="217" t="s">
        <v>554</v>
      </c>
      <c r="E11" s="217" t="s">
        <v>567</v>
      </c>
      <c r="F11" s="298"/>
      <c r="G11" s="298"/>
      <c r="K11" s="298"/>
      <c r="L11" s="298"/>
      <c r="M11" s="298"/>
      <c r="N11" s="298"/>
      <c r="O11" s="298"/>
    </row>
    <row r="12" spans="1:15" ht="15.6" x14ac:dyDescent="0.3">
      <c r="A12" s="216" t="s">
        <v>542</v>
      </c>
      <c r="C12" s="216" t="s">
        <v>555</v>
      </c>
      <c r="E12" s="216" t="s">
        <v>568</v>
      </c>
      <c r="F12" s="298"/>
      <c r="G12" s="298"/>
      <c r="K12" s="298"/>
      <c r="L12" s="298"/>
      <c r="M12" s="298"/>
      <c r="N12" s="298"/>
      <c r="O12" s="298"/>
    </row>
    <row r="13" spans="1:15" ht="15.6" x14ac:dyDescent="0.3">
      <c r="A13" s="216" t="s">
        <v>543</v>
      </c>
      <c r="C13" s="216" t="s">
        <v>556</v>
      </c>
      <c r="E13" s="216" t="s">
        <v>569</v>
      </c>
      <c r="F13" s="298"/>
      <c r="G13" s="298"/>
      <c r="K13" s="298"/>
      <c r="L13" s="298"/>
      <c r="M13" s="298"/>
      <c r="N13" s="298"/>
      <c r="O13" s="298"/>
    </row>
    <row r="14" spans="1:15" ht="15.6" x14ac:dyDescent="0.3">
      <c r="A14" s="216" t="s">
        <v>544</v>
      </c>
      <c r="C14" s="216" t="s">
        <v>557</v>
      </c>
      <c r="E14" s="216" t="s">
        <v>570</v>
      </c>
      <c r="F14" s="298"/>
      <c r="G14" s="298"/>
      <c r="K14" s="298"/>
      <c r="L14" s="298"/>
      <c r="M14" s="298"/>
      <c r="N14" s="298"/>
      <c r="O14" s="298"/>
    </row>
    <row r="15" spans="1:15" ht="15.6" x14ac:dyDescent="0.3">
      <c r="F15" s="298"/>
      <c r="G15" s="298"/>
      <c r="K15" s="298"/>
      <c r="L15" s="298"/>
      <c r="M15" s="298"/>
      <c r="N15" s="298"/>
      <c r="O15" s="298"/>
    </row>
    <row r="16" spans="1:15" ht="14.4" customHeight="1" thickBot="1" x14ac:dyDescent="0.35">
      <c r="F16" s="298"/>
      <c r="G16" s="298"/>
      <c r="K16" s="298"/>
      <c r="L16" s="298"/>
      <c r="M16" s="298"/>
      <c r="N16" s="298"/>
      <c r="O16" s="298"/>
    </row>
    <row r="17" spans="1:15" ht="15" customHeight="1" thickBot="1" x14ac:dyDescent="0.35">
      <c r="A17" s="219" t="s">
        <v>9</v>
      </c>
      <c r="C17" s="219" t="s">
        <v>9</v>
      </c>
      <c r="E17" s="219" t="s">
        <v>9</v>
      </c>
      <c r="F17" s="298"/>
      <c r="G17" s="298"/>
      <c r="K17" s="298"/>
      <c r="L17" s="298"/>
      <c r="M17" s="298"/>
      <c r="N17" s="298"/>
      <c r="O17" s="298"/>
    </row>
    <row r="18" spans="1:15" ht="15.6" x14ac:dyDescent="0.3">
      <c r="A18" s="220" t="s">
        <v>545</v>
      </c>
      <c r="C18" s="220" t="s">
        <v>558</v>
      </c>
      <c r="E18" s="220" t="s">
        <v>558</v>
      </c>
      <c r="F18" s="298"/>
      <c r="G18" s="298"/>
      <c r="K18" s="298"/>
      <c r="L18" s="298"/>
      <c r="M18" s="298"/>
      <c r="N18" s="298"/>
      <c r="O18" s="298"/>
    </row>
    <row r="19" spans="1:15" ht="15.6" x14ac:dyDescent="0.3">
      <c r="A19" s="221" t="s">
        <v>546</v>
      </c>
      <c r="C19" s="221" t="s">
        <v>559</v>
      </c>
      <c r="E19" s="221" t="s">
        <v>571</v>
      </c>
      <c r="F19" s="298"/>
      <c r="G19" s="298"/>
      <c r="K19" s="298"/>
      <c r="L19" s="298"/>
      <c r="M19" s="298"/>
      <c r="N19" s="298"/>
      <c r="O19" s="298"/>
    </row>
    <row r="20" spans="1:15" ht="15.6" x14ac:dyDescent="0.3">
      <c r="A20" s="221" t="s">
        <v>547</v>
      </c>
      <c r="C20" s="221" t="s">
        <v>560</v>
      </c>
      <c r="E20" s="221" t="s">
        <v>572</v>
      </c>
      <c r="F20" s="298"/>
      <c r="G20" s="298"/>
      <c r="K20" s="298"/>
      <c r="L20" s="298"/>
      <c r="M20" s="298"/>
      <c r="N20" s="298"/>
      <c r="O20" s="298"/>
    </row>
    <row r="21" spans="1:15" ht="15.6" x14ac:dyDescent="0.3">
      <c r="A21" s="221" t="s">
        <v>548</v>
      </c>
      <c r="C21" s="221" t="s">
        <v>561</v>
      </c>
      <c r="E21" s="221" t="s">
        <v>573</v>
      </c>
      <c r="F21" s="298"/>
      <c r="G21" s="298"/>
      <c r="K21" s="298"/>
      <c r="L21" s="298"/>
      <c r="M21" s="298"/>
      <c r="N21" s="298"/>
      <c r="O21" s="298"/>
    </row>
    <row r="22" spans="1:15" ht="15.6" x14ac:dyDescent="0.3">
      <c r="C22" s="298"/>
      <c r="D22" s="298"/>
      <c r="E22" s="298"/>
      <c r="F22" s="298"/>
      <c r="G22" s="298"/>
      <c r="K22" s="298"/>
      <c r="L22" s="298"/>
      <c r="M22" s="298"/>
      <c r="N22" s="298"/>
      <c r="O22" s="29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C4FD-27FB-4A7E-A226-B5864C4158C0}">
  <dimension ref="A1:AC256"/>
  <sheetViews>
    <sheetView zoomScale="70" zoomScaleNormal="70" workbookViewId="0">
      <selection activeCell="N33" sqref="N33:O33"/>
    </sheetView>
  </sheetViews>
  <sheetFormatPr defaultRowHeight="14.4" x14ac:dyDescent="0.3"/>
  <cols>
    <col min="1" max="1" width="37.33203125" customWidth="1"/>
    <col min="2" max="2" width="9.33203125" customWidth="1"/>
    <col min="3" max="3" width="15.77734375" customWidth="1"/>
    <col min="4" max="4" width="19.77734375" customWidth="1"/>
    <col min="5" max="5" width="13.33203125" customWidth="1"/>
    <col min="6" max="6" width="18.109375" customWidth="1"/>
    <col min="9" max="9" width="21.5546875" bestFit="1" customWidth="1"/>
    <col min="10" max="10" width="13.88671875" bestFit="1" customWidth="1"/>
    <col min="11" max="11" width="14.88671875" bestFit="1" customWidth="1"/>
    <col min="12" max="12" width="14.5546875" bestFit="1" customWidth="1"/>
    <col min="13" max="13" width="15.33203125" bestFit="1" customWidth="1"/>
    <col min="14" max="14" width="11.33203125" bestFit="1" customWidth="1"/>
    <col min="15" max="15" width="11.109375" bestFit="1" customWidth="1"/>
    <col min="16" max="17" width="6.109375" bestFit="1" customWidth="1"/>
    <col min="18" max="18" width="10" bestFit="1" customWidth="1"/>
    <col min="22" max="22" width="15.6640625" bestFit="1" customWidth="1"/>
    <col min="23" max="23" width="18.6640625" bestFit="1" customWidth="1"/>
    <col min="24" max="24" width="19.77734375" bestFit="1" customWidth="1"/>
  </cols>
  <sheetData>
    <row r="1" spans="1:29" ht="16.2" thickBot="1" x14ac:dyDescent="0.35">
      <c r="A1" s="2"/>
      <c r="B1" s="2"/>
      <c r="C1" s="2"/>
      <c r="D1" s="2"/>
      <c r="E1" s="2"/>
    </row>
    <row r="2" spans="1:29" ht="16.2" thickBot="1" x14ac:dyDescent="0.35">
      <c r="A2" s="3"/>
      <c r="B2" s="2"/>
      <c r="C2" s="2"/>
      <c r="D2" s="2"/>
      <c r="E2" s="2"/>
      <c r="V2" s="222" t="s">
        <v>233</v>
      </c>
      <c r="W2" s="223"/>
      <c r="X2" s="223"/>
      <c r="Y2" s="224"/>
    </row>
    <row r="3" spans="1:29" ht="16.2" thickBot="1" x14ac:dyDescent="0.35">
      <c r="A3" s="3" t="s">
        <v>234</v>
      </c>
      <c r="B3" s="4">
        <v>95</v>
      </c>
      <c r="C3" s="2"/>
      <c r="D3" s="2"/>
      <c r="E3" s="2"/>
      <c r="I3" s="25" t="s">
        <v>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</v>
      </c>
      <c r="O3" s="26" t="s">
        <v>2</v>
      </c>
      <c r="P3" s="26" t="s">
        <v>3</v>
      </c>
      <c r="Q3" s="26" t="s">
        <v>4</v>
      </c>
      <c r="R3" s="26" t="s">
        <v>5</v>
      </c>
      <c r="V3" s="135"/>
      <c r="W3" s="71" t="s">
        <v>468</v>
      </c>
      <c r="X3" s="71" t="s">
        <v>469</v>
      </c>
      <c r="Y3" s="136" t="s">
        <v>467</v>
      </c>
      <c r="Z3" s="2"/>
      <c r="AA3" s="2"/>
      <c r="AB3" s="2"/>
      <c r="AC3" s="2"/>
    </row>
    <row r="4" spans="1:29" ht="16.2" thickBot="1" x14ac:dyDescent="0.35">
      <c r="A4" s="3" t="s">
        <v>235</v>
      </c>
      <c r="B4" s="4">
        <v>55</v>
      </c>
      <c r="C4" s="2"/>
      <c r="D4" s="2"/>
      <c r="E4" s="2"/>
      <c r="I4" s="73" t="s">
        <v>233</v>
      </c>
      <c r="J4" s="28">
        <v>95</v>
      </c>
      <c r="K4" s="28">
        <v>55</v>
      </c>
      <c r="L4" s="28">
        <v>22</v>
      </c>
      <c r="M4" s="28">
        <v>40</v>
      </c>
      <c r="N4" s="29">
        <f>J4/(J4+M4)</f>
        <v>0.70370370370370372</v>
      </c>
      <c r="O4" s="29">
        <f>K4/(K4+L4)</f>
        <v>0.7142857142857143</v>
      </c>
      <c r="P4" s="29">
        <f>J4/(J4+L4)</f>
        <v>0.81196581196581197</v>
      </c>
      <c r="Q4" s="29">
        <f>K4/(K4+M4)</f>
        <v>0.57894736842105265</v>
      </c>
      <c r="R4" s="29">
        <f>(J4+K4)/(J4+K4+L4+M4)</f>
        <v>0.70754716981132071</v>
      </c>
      <c r="V4" s="137" t="s">
        <v>465</v>
      </c>
      <c r="W4" s="71">
        <v>95</v>
      </c>
      <c r="X4" s="71">
        <v>40</v>
      </c>
      <c r="Y4" s="136">
        <f>SUM(W4:X4)</f>
        <v>135</v>
      </c>
      <c r="Z4" s="2"/>
      <c r="AA4" s="2"/>
      <c r="AB4" s="2"/>
      <c r="AC4" s="2"/>
    </row>
    <row r="5" spans="1:29" ht="16.2" thickBot="1" x14ac:dyDescent="0.35">
      <c r="A5" s="3" t="s">
        <v>236</v>
      </c>
      <c r="B5" s="4">
        <v>22</v>
      </c>
      <c r="I5" s="73" t="s">
        <v>8</v>
      </c>
      <c r="J5" s="28">
        <v>116</v>
      </c>
      <c r="K5" s="28">
        <v>24</v>
      </c>
      <c r="L5" s="28">
        <v>53</v>
      </c>
      <c r="M5" s="28">
        <v>19</v>
      </c>
      <c r="N5" s="29">
        <f t="shared" ref="N5:N6" si="0">J5/(J5+M5)</f>
        <v>0.85925925925925928</v>
      </c>
      <c r="O5" s="29">
        <f t="shared" ref="O5:O6" si="1">K5/(K5+L5)</f>
        <v>0.31168831168831168</v>
      </c>
      <c r="P5" s="29">
        <f t="shared" ref="P5:P6" si="2">J5/(J5+L5)</f>
        <v>0.68639053254437865</v>
      </c>
      <c r="Q5" s="29">
        <f t="shared" ref="Q5:Q6" si="3">K5/(K5+M5)</f>
        <v>0.55813953488372092</v>
      </c>
      <c r="R5" s="29">
        <f t="shared" ref="R5:R6" si="4">(J5+K5)/(J5+K5+L5+M5)</f>
        <v>0.660377358490566</v>
      </c>
      <c r="V5" s="137" t="s">
        <v>466</v>
      </c>
      <c r="W5" s="71">
        <v>22</v>
      </c>
      <c r="X5" s="71">
        <v>55</v>
      </c>
      <c r="Y5" s="136">
        <f t="shared" ref="Y5:Y6" si="5">SUM(W5:X5)</f>
        <v>77</v>
      </c>
      <c r="Z5" s="2"/>
      <c r="AA5" s="2"/>
      <c r="AB5" s="2"/>
      <c r="AC5" s="2"/>
    </row>
    <row r="6" spans="1:29" ht="16.2" thickBot="1" x14ac:dyDescent="0.35">
      <c r="A6" s="3" t="s">
        <v>237</v>
      </c>
      <c r="B6" s="4">
        <v>40</v>
      </c>
      <c r="I6" s="73" t="s">
        <v>9</v>
      </c>
      <c r="J6" s="28">
        <v>120</v>
      </c>
      <c r="K6" s="28">
        <v>33</v>
      </c>
      <c r="L6" s="28">
        <v>44</v>
      </c>
      <c r="M6" s="28">
        <v>15</v>
      </c>
      <c r="N6" s="29">
        <f t="shared" si="0"/>
        <v>0.88888888888888884</v>
      </c>
      <c r="O6" s="29">
        <f t="shared" si="1"/>
        <v>0.42857142857142855</v>
      </c>
      <c r="P6" s="29">
        <f t="shared" si="2"/>
        <v>0.73170731707317072</v>
      </c>
      <c r="Q6" s="29">
        <f t="shared" si="3"/>
        <v>0.6875</v>
      </c>
      <c r="R6" s="29">
        <f t="shared" si="4"/>
        <v>0.72169811320754718</v>
      </c>
      <c r="V6" s="138" t="s">
        <v>467</v>
      </c>
      <c r="W6" s="139">
        <f>SUM(W4:W5)</f>
        <v>117</v>
      </c>
      <c r="X6" s="139">
        <f>SUM(X4:X5)</f>
        <v>95</v>
      </c>
      <c r="Y6" s="140">
        <f t="shared" si="5"/>
        <v>212</v>
      </c>
      <c r="Z6" s="2"/>
      <c r="AA6" s="2"/>
      <c r="AB6" s="2"/>
      <c r="AC6" s="2"/>
    </row>
    <row r="7" spans="1:29" ht="15.6" x14ac:dyDescent="0.3">
      <c r="A7" s="1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29" ht="16.2" thickBot="1" x14ac:dyDescent="0.35">
      <c r="A8" s="3" t="s">
        <v>258</v>
      </c>
      <c r="B8" s="4">
        <v>116</v>
      </c>
      <c r="I8" s="40"/>
      <c r="J8" s="40"/>
      <c r="K8" s="40"/>
      <c r="L8" s="40"/>
      <c r="M8" s="40"/>
      <c r="N8" s="40"/>
      <c r="O8" s="40"/>
      <c r="P8" s="40"/>
      <c r="Q8" s="40"/>
      <c r="R8" s="40"/>
    </row>
    <row r="9" spans="1:29" ht="15.6" x14ac:dyDescent="0.3">
      <c r="A9" s="3" t="s">
        <v>259</v>
      </c>
      <c r="B9" s="4">
        <v>24</v>
      </c>
      <c r="I9" s="72"/>
      <c r="J9" s="41"/>
      <c r="K9" s="41"/>
      <c r="L9" s="41"/>
      <c r="M9" s="41"/>
      <c r="N9" s="42"/>
      <c r="O9" s="42"/>
      <c r="P9" s="42"/>
      <c r="Q9" s="42"/>
      <c r="R9" s="42"/>
      <c r="V9" s="222" t="s">
        <v>8</v>
      </c>
      <c r="W9" s="223"/>
      <c r="X9" s="223"/>
      <c r="Y9" s="224"/>
    </row>
    <row r="10" spans="1:29" ht="15.6" x14ac:dyDescent="0.3">
      <c r="A10" s="3" t="s">
        <v>260</v>
      </c>
      <c r="B10" s="4">
        <v>53</v>
      </c>
      <c r="I10" s="40"/>
      <c r="J10" s="40"/>
      <c r="K10" s="40"/>
      <c r="L10" s="40"/>
      <c r="M10" s="40"/>
      <c r="N10" s="40"/>
      <c r="O10" s="40"/>
      <c r="P10" s="40"/>
      <c r="Q10" s="40"/>
      <c r="R10" s="40"/>
      <c r="V10" s="135"/>
      <c r="W10" s="71" t="s">
        <v>468</v>
      </c>
      <c r="X10" s="71" t="s">
        <v>469</v>
      </c>
      <c r="Y10" s="136" t="s">
        <v>467</v>
      </c>
    </row>
    <row r="11" spans="1:29" ht="15.6" x14ac:dyDescent="0.3">
      <c r="A11" s="3" t="s">
        <v>261</v>
      </c>
      <c r="B11" s="4">
        <v>19</v>
      </c>
      <c r="I11" s="72"/>
      <c r="J11" s="41"/>
      <c r="K11" s="41"/>
      <c r="L11" s="41"/>
      <c r="M11" s="41"/>
      <c r="N11" s="42"/>
      <c r="O11" s="42"/>
      <c r="P11" s="42"/>
      <c r="Q11" s="42"/>
      <c r="R11" s="42"/>
      <c r="V11" s="137" t="s">
        <v>465</v>
      </c>
      <c r="W11" s="71">
        <v>116</v>
      </c>
      <c r="X11" s="71">
        <v>19</v>
      </c>
      <c r="Y11" s="136">
        <f>SUM(W11:X11)</f>
        <v>135</v>
      </c>
    </row>
    <row r="12" spans="1:29" ht="15.6" x14ac:dyDescent="0.3">
      <c r="A12" s="1"/>
      <c r="I12" s="72"/>
      <c r="J12" s="41"/>
      <c r="K12" s="41"/>
      <c r="L12" s="41"/>
      <c r="M12" s="41"/>
      <c r="N12" s="42"/>
      <c r="O12" s="42"/>
      <c r="P12" s="42"/>
      <c r="Q12" s="42"/>
      <c r="R12" s="42"/>
      <c r="V12" s="137" t="s">
        <v>466</v>
      </c>
      <c r="W12" s="71">
        <v>53</v>
      </c>
      <c r="X12" s="71">
        <v>24</v>
      </c>
      <c r="Y12" s="136">
        <f t="shared" ref="Y12" si="6">SUM(W12:X12)</f>
        <v>77</v>
      </c>
    </row>
    <row r="13" spans="1:29" ht="16.2" thickBot="1" x14ac:dyDescent="0.35">
      <c r="A13" s="3" t="s">
        <v>262</v>
      </c>
      <c r="B13" s="4">
        <v>119</v>
      </c>
      <c r="I13" s="72"/>
      <c r="J13" s="41"/>
      <c r="K13" s="41"/>
      <c r="L13" s="41"/>
      <c r="M13" s="41"/>
      <c r="N13" s="42"/>
      <c r="O13" s="42"/>
      <c r="P13" s="42"/>
      <c r="Q13" s="42"/>
      <c r="R13" s="42"/>
      <c r="V13" s="138" t="s">
        <v>467</v>
      </c>
      <c r="W13" s="139">
        <f>SUM(W11:W12)</f>
        <v>169</v>
      </c>
      <c r="X13" s="139">
        <f t="shared" ref="X13:Y13" si="7">SUM(X11:X12)</f>
        <v>43</v>
      </c>
      <c r="Y13" s="140">
        <f t="shared" si="7"/>
        <v>212</v>
      </c>
    </row>
    <row r="14" spans="1:29" ht="15.6" x14ac:dyDescent="0.3">
      <c r="A14" s="3" t="s">
        <v>263</v>
      </c>
      <c r="B14" s="4">
        <v>35</v>
      </c>
    </row>
    <row r="15" spans="1:29" ht="16.2" thickBot="1" x14ac:dyDescent="0.35">
      <c r="A15" s="3" t="s">
        <v>264</v>
      </c>
      <c r="B15" s="4">
        <v>42</v>
      </c>
    </row>
    <row r="16" spans="1:29" ht="15.6" x14ac:dyDescent="0.3">
      <c r="A16" s="3" t="s">
        <v>265</v>
      </c>
      <c r="B16" s="4">
        <v>16</v>
      </c>
      <c r="V16" s="222" t="s">
        <v>9</v>
      </c>
      <c r="W16" s="223"/>
      <c r="X16" s="223"/>
      <c r="Y16" s="224"/>
    </row>
    <row r="17" spans="1:25" ht="15.6" x14ac:dyDescent="0.3">
      <c r="A17" s="1"/>
      <c r="V17" s="135"/>
      <c r="W17" s="71" t="s">
        <v>468</v>
      </c>
      <c r="X17" s="71" t="s">
        <v>469</v>
      </c>
      <c r="Y17" s="136" t="s">
        <v>467</v>
      </c>
    </row>
    <row r="18" spans="1:25" ht="15.6" x14ac:dyDescent="0.3">
      <c r="A18" s="3" t="s">
        <v>276</v>
      </c>
      <c r="B18" s="4">
        <v>120</v>
      </c>
      <c r="V18" s="137" t="s">
        <v>465</v>
      </c>
      <c r="W18" s="71">
        <v>120</v>
      </c>
      <c r="X18" s="71">
        <v>15</v>
      </c>
      <c r="Y18" s="136">
        <f>SUM(W18:X18)</f>
        <v>135</v>
      </c>
    </row>
    <row r="19" spans="1:25" ht="15.6" x14ac:dyDescent="0.3">
      <c r="A19" s="3" t="s">
        <v>277</v>
      </c>
      <c r="B19" s="4">
        <v>33</v>
      </c>
      <c r="V19" s="137" t="s">
        <v>466</v>
      </c>
      <c r="W19" s="71">
        <v>44</v>
      </c>
      <c r="X19" s="71">
        <v>33</v>
      </c>
      <c r="Y19" s="136">
        <f t="shared" ref="Y19:Y20" si="8">SUM(W19:X19)</f>
        <v>77</v>
      </c>
    </row>
    <row r="20" spans="1:25" ht="16.2" thickBot="1" x14ac:dyDescent="0.35">
      <c r="A20" s="3" t="s">
        <v>278</v>
      </c>
      <c r="B20" s="4">
        <v>44</v>
      </c>
      <c r="V20" s="138" t="s">
        <v>467</v>
      </c>
      <c r="W20" s="139">
        <f>SUM(W18:W19)</f>
        <v>164</v>
      </c>
      <c r="X20" s="139">
        <f t="shared" ref="X20" si="9">SUM(X18:X19)</f>
        <v>48</v>
      </c>
      <c r="Y20" s="140">
        <f t="shared" si="8"/>
        <v>212</v>
      </c>
    </row>
    <row r="21" spans="1:25" ht="15.6" x14ac:dyDescent="0.3">
      <c r="A21" s="3" t="s">
        <v>279</v>
      </c>
      <c r="B21" s="4">
        <v>15</v>
      </c>
    </row>
    <row r="22" spans="1:25" x14ac:dyDescent="0.3">
      <c r="A22" s="1"/>
    </row>
    <row r="23" spans="1:25" ht="15.6" x14ac:dyDescent="0.3">
      <c r="A23" s="3"/>
      <c r="B23" s="4"/>
    </row>
    <row r="24" spans="1:25" ht="15.6" x14ac:dyDescent="0.3">
      <c r="A24" s="3"/>
      <c r="B24" s="4"/>
    </row>
    <row r="25" spans="1:25" ht="15.6" x14ac:dyDescent="0.3">
      <c r="A25" s="3"/>
      <c r="B25" s="4"/>
    </row>
    <row r="26" spans="1:25" ht="15.6" x14ac:dyDescent="0.3">
      <c r="A26" s="3"/>
      <c r="B26" s="4"/>
    </row>
    <row r="27" spans="1:25" x14ac:dyDescent="0.3">
      <c r="A27" s="1"/>
    </row>
    <row r="28" spans="1:25" x14ac:dyDescent="0.3">
      <c r="A28" s="1"/>
    </row>
    <row r="29" spans="1:25" x14ac:dyDescent="0.3">
      <c r="A29" s="1"/>
    </row>
    <row r="30" spans="1:25" ht="15.6" x14ac:dyDescent="0.3">
      <c r="A30" s="3"/>
      <c r="B30" s="4"/>
    </row>
    <row r="31" spans="1:25" ht="15.6" x14ac:dyDescent="0.3">
      <c r="A31" s="3"/>
      <c r="B31" s="4"/>
    </row>
    <row r="32" spans="1:25" ht="15.6" x14ac:dyDescent="0.3">
      <c r="A32" s="3"/>
      <c r="B32" s="4"/>
    </row>
    <row r="33" spans="1:2" ht="15.6" x14ac:dyDescent="0.3">
      <c r="A33" s="3"/>
      <c r="B33" s="4"/>
    </row>
    <row r="34" spans="1:2" x14ac:dyDescent="0.3">
      <c r="A34" s="1"/>
    </row>
    <row r="35" spans="1:2" ht="15.6" x14ac:dyDescent="0.3">
      <c r="A35" s="3"/>
      <c r="B35" s="4"/>
    </row>
    <row r="36" spans="1:2" ht="15.6" x14ac:dyDescent="0.3">
      <c r="A36" s="3"/>
      <c r="B36" s="4"/>
    </row>
    <row r="37" spans="1:2" ht="15.6" x14ac:dyDescent="0.3">
      <c r="A37" s="3"/>
      <c r="B37" s="4"/>
    </row>
    <row r="38" spans="1:2" ht="15.6" x14ac:dyDescent="0.3">
      <c r="A38" s="3"/>
      <c r="B38" s="4"/>
    </row>
    <row r="39" spans="1:2" x14ac:dyDescent="0.3">
      <c r="A39" s="1"/>
    </row>
    <row r="40" spans="1:2" ht="15.6" x14ac:dyDescent="0.3">
      <c r="A40" s="3"/>
      <c r="B40" s="4"/>
    </row>
    <row r="41" spans="1:2" ht="15.6" x14ac:dyDescent="0.3">
      <c r="A41" s="3"/>
      <c r="B41" s="4"/>
    </row>
    <row r="42" spans="1:2" ht="15.6" x14ac:dyDescent="0.3">
      <c r="A42" s="3"/>
      <c r="B42" s="4"/>
    </row>
    <row r="43" spans="1:2" ht="15.6" x14ac:dyDescent="0.3">
      <c r="A43" s="3"/>
      <c r="B43" s="4"/>
    </row>
    <row r="44" spans="1:2" x14ac:dyDescent="0.3">
      <c r="A44" s="1"/>
    </row>
    <row r="45" spans="1:2" ht="15.6" x14ac:dyDescent="0.3">
      <c r="A45" s="3"/>
      <c r="B45" s="4"/>
    </row>
    <row r="46" spans="1:2" ht="15.6" x14ac:dyDescent="0.3">
      <c r="A46" s="3"/>
      <c r="B46" s="4"/>
    </row>
    <row r="47" spans="1:2" ht="15.6" x14ac:dyDescent="0.3">
      <c r="A47" s="3"/>
      <c r="B47" s="4"/>
    </row>
    <row r="48" spans="1:2" ht="15.6" x14ac:dyDescent="0.3">
      <c r="A48" s="3"/>
      <c r="B48" s="4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</sheetData>
  <autoFilter ref="A1:R256" xr:uid="{413AC4FD-27FB-4A7E-A226-B5864C4158C0}"/>
  <mergeCells count="3">
    <mergeCell ref="V2:Y2"/>
    <mergeCell ref="V9:Y9"/>
    <mergeCell ref="V16:Y16"/>
  </mergeCells>
  <dataValidations count="3">
    <dataValidation type="whole" allowBlank="1" showInputMessage="1" showErrorMessage="1" sqref="C16 C23" xr:uid="{94FD44CE-ADBE-4D64-A0B1-23192F18695D}">
      <formula1>0</formula1>
      <formula2>12</formula2>
    </dataValidation>
    <dataValidation type="whole" allowBlank="1" showInputMessage="1" showErrorMessage="1" sqref="C24:C25 C29 C36:C37 C39 C41 C43 C45:C46 F249 C50 C67 C69:D69 C76 C78 C80:C81 C88 C90 C92 C95:C97 C99:C100 C104 C118 C120 C122 C124 C128 C132:C134 C138:C139 C141 C144 C147:C148 C151 C153 C158 C163 C173:C174 C177 C183 F166 C188 C194 C196:C197 C209:C211 C214:C216 C219 C222 C228 C230:C232 C234:C235 C240 C250 C254 C256 C74 F59 F87 F150 F160 F171 F176 F198 F220 F224 F227 F237 F186 C48 F48" xr:uid="{A466D7A4-B743-4CCE-85E1-14FEF184E9B2}">
      <formula1>0</formula1>
      <formula2>7</formula2>
    </dataValidation>
    <dataValidation type="whole" allowBlank="1" showInputMessage="1" showErrorMessage="1" sqref="C257:C16379 C251:C253 E2:E16379 C30:C35 C51:C66 C82:C87 C93:C94 C105:C117 C101:C103 C125:C127 C142:C143 C129:C131 C145:C146 C135:C137 C149:C150 C154:C157 C164:C172 C161:C162 C175:C176 C178:C182 C189:C193 C198:C208 C212:C213 C220:C221 C223:C227 C217:C218 C236:C239 C241:C249 F167:F170 F172:F175 F199:F219 F225:F226 F161:F165 C70:C73 C26:C28 C17:C22 F177:F185 F221:F223 F238:F248 C47 C119 C159 C229 C233 F228:F236 C195 C184:C187 F187:F197 C152 F151:F159 C140 C123 C98 C121 C49 F49:F58 C79 C89 C91 F88:F149 C77 C75 C68 F60:F86 C42 C44 C38 C40 F2:F47 C255 F250:F16379 C5:C15 D2:D4" xr:uid="{6C75AB23-6E41-4D76-A496-052026728195}">
      <formula1>0</formula1>
      <formula2>5</formula2>
    </dataValidation>
  </dataValidation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C320-F501-4934-841D-06C6016C9D24}">
  <dimension ref="A1:Y256"/>
  <sheetViews>
    <sheetView zoomScale="70" zoomScaleNormal="70" workbookViewId="0">
      <selection activeCell="R4" sqref="R4"/>
    </sheetView>
  </sheetViews>
  <sheetFormatPr defaultRowHeight="14.4" x14ac:dyDescent="0.3"/>
  <cols>
    <col min="1" max="1" width="43.5546875" customWidth="1"/>
    <col min="2" max="2" width="21" customWidth="1"/>
    <col min="3" max="3" width="19.21875" bestFit="1" customWidth="1"/>
    <col min="4" max="4" width="16.88671875" customWidth="1"/>
    <col min="5" max="5" width="13.33203125" customWidth="1"/>
    <col min="6" max="6" width="18.109375" customWidth="1"/>
    <col min="9" max="9" width="18.21875" customWidth="1"/>
    <col min="10" max="10" width="13.6640625" bestFit="1" customWidth="1"/>
    <col min="11" max="11" width="14.88671875" bestFit="1" customWidth="1"/>
    <col min="12" max="12" width="14.5546875" bestFit="1" customWidth="1"/>
    <col min="13" max="13" width="15.33203125" bestFit="1" customWidth="1"/>
    <col min="14" max="14" width="11.33203125" bestFit="1" customWidth="1"/>
    <col min="15" max="15" width="11.109375" bestFit="1" customWidth="1"/>
    <col min="16" max="17" width="6.109375" bestFit="1" customWidth="1"/>
    <col min="18" max="18" width="10" bestFit="1" customWidth="1"/>
    <col min="22" max="22" width="15.33203125" bestFit="1" customWidth="1"/>
    <col min="23" max="23" width="17.44140625" bestFit="1" customWidth="1"/>
    <col min="24" max="24" width="18.109375" bestFit="1" customWidth="1"/>
  </cols>
  <sheetData>
    <row r="1" spans="1:25" ht="16.2" thickBot="1" x14ac:dyDescent="0.35">
      <c r="A1" s="2"/>
      <c r="B1" s="2"/>
      <c r="C1" s="2"/>
      <c r="D1" s="2"/>
      <c r="E1" s="2"/>
    </row>
    <row r="2" spans="1:25" ht="16.2" thickBot="1" x14ac:dyDescent="0.35">
      <c r="A2" s="3"/>
      <c r="B2" s="2"/>
      <c r="C2" s="2"/>
      <c r="D2" s="2"/>
      <c r="E2" s="2"/>
      <c r="I2" s="225" t="s">
        <v>270</v>
      </c>
      <c r="J2" s="225"/>
      <c r="K2" s="225"/>
      <c r="L2" s="225"/>
      <c r="M2" s="225"/>
      <c r="N2" s="225"/>
      <c r="O2" s="225"/>
      <c r="P2" s="225"/>
      <c r="Q2" s="225"/>
      <c r="R2" s="225"/>
      <c r="V2" s="222" t="s">
        <v>470</v>
      </c>
      <c r="W2" s="223"/>
      <c r="X2" s="223"/>
      <c r="Y2" s="224"/>
    </row>
    <row r="3" spans="1:25" ht="16.2" thickBot="1" x14ac:dyDescent="0.35">
      <c r="A3" s="3" t="s">
        <v>242</v>
      </c>
      <c r="B3" s="4">
        <v>25</v>
      </c>
      <c r="C3" s="2"/>
      <c r="D3" s="2"/>
      <c r="E3" s="2"/>
      <c r="I3" s="25" t="s">
        <v>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</v>
      </c>
      <c r="O3" s="26" t="s">
        <v>2</v>
      </c>
      <c r="P3" s="26" t="s">
        <v>3</v>
      </c>
      <c r="Q3" s="26" t="s">
        <v>4</v>
      </c>
      <c r="R3" s="26" t="s">
        <v>5</v>
      </c>
      <c r="V3" s="135"/>
      <c r="W3" s="71" t="s">
        <v>468</v>
      </c>
      <c r="X3" s="71" t="s">
        <v>469</v>
      </c>
      <c r="Y3" s="136" t="s">
        <v>467</v>
      </c>
    </row>
    <row r="4" spans="1:25" ht="16.2" thickBot="1" x14ac:dyDescent="0.35">
      <c r="A4" s="3" t="s">
        <v>243</v>
      </c>
      <c r="B4" s="4">
        <v>9</v>
      </c>
      <c r="C4" s="2"/>
      <c r="D4" s="2"/>
      <c r="E4" s="2"/>
      <c r="I4" s="27" t="s">
        <v>233</v>
      </c>
      <c r="J4" s="28">
        <v>25</v>
      </c>
      <c r="K4" s="28">
        <v>9</v>
      </c>
      <c r="L4" s="28">
        <v>6</v>
      </c>
      <c r="M4" s="28">
        <v>9</v>
      </c>
      <c r="N4" s="29">
        <f>J4/(J4+M4)</f>
        <v>0.73529411764705888</v>
      </c>
      <c r="O4" s="29">
        <f>K4/(K4+L4)</f>
        <v>0.6</v>
      </c>
      <c r="P4" s="29">
        <f>J4/(J4+L4)</f>
        <v>0.80645161290322576</v>
      </c>
      <c r="Q4" s="29">
        <f>K4/(K4+M4)</f>
        <v>0.5</v>
      </c>
      <c r="R4" s="29">
        <f>(J4+K4)/(J4+K4+L4+M4)</f>
        <v>0.69387755102040816</v>
      </c>
      <c r="V4" s="137" t="s">
        <v>465</v>
      </c>
      <c r="W4" s="71">
        <v>25</v>
      </c>
      <c r="X4" s="71">
        <v>9</v>
      </c>
      <c r="Y4" s="136">
        <f>SUM(W4:X4)</f>
        <v>34</v>
      </c>
    </row>
    <row r="5" spans="1:25" ht="16.2" thickBot="1" x14ac:dyDescent="0.35">
      <c r="A5" s="3" t="s">
        <v>244</v>
      </c>
      <c r="B5" s="4">
        <v>6</v>
      </c>
      <c r="I5" s="27" t="s">
        <v>8</v>
      </c>
      <c r="J5" s="28">
        <v>25</v>
      </c>
      <c r="K5" s="28">
        <v>3</v>
      </c>
      <c r="L5" s="28">
        <v>12</v>
      </c>
      <c r="M5" s="28">
        <v>9</v>
      </c>
      <c r="N5" s="29">
        <f t="shared" ref="N5:N6" si="0">J5/(J5+M5)</f>
        <v>0.73529411764705888</v>
      </c>
      <c r="O5" s="29">
        <f t="shared" ref="O5:O6" si="1">K5/(K5+L5)</f>
        <v>0.2</v>
      </c>
      <c r="P5" s="29">
        <f t="shared" ref="P5:P6" si="2">J5/(J5+L5)</f>
        <v>0.67567567567567566</v>
      </c>
      <c r="Q5" s="29">
        <f t="shared" ref="Q5:Q6" si="3">K5/(K5+M5)</f>
        <v>0.25</v>
      </c>
      <c r="R5" s="29">
        <f t="shared" ref="R5:R6" si="4">(J5+K5)/(J5+K5+L5+M5)</f>
        <v>0.5714285714285714</v>
      </c>
      <c r="V5" s="137" t="s">
        <v>466</v>
      </c>
      <c r="W5" s="71">
        <v>6</v>
      </c>
      <c r="X5" s="71">
        <v>9</v>
      </c>
      <c r="Y5" s="136">
        <f t="shared" ref="Y5:Y6" si="5">SUM(W5:X5)</f>
        <v>15</v>
      </c>
    </row>
    <row r="6" spans="1:25" ht="16.2" thickBot="1" x14ac:dyDescent="0.35">
      <c r="A6" s="3" t="s">
        <v>245</v>
      </c>
      <c r="B6" s="4">
        <v>9</v>
      </c>
      <c r="I6" s="27" t="s">
        <v>280</v>
      </c>
      <c r="J6" s="28">
        <v>31</v>
      </c>
      <c r="K6" s="28">
        <v>7</v>
      </c>
      <c r="L6" s="28">
        <v>8</v>
      </c>
      <c r="M6" s="28">
        <v>3</v>
      </c>
      <c r="N6" s="29">
        <f t="shared" si="0"/>
        <v>0.91176470588235292</v>
      </c>
      <c r="O6" s="29">
        <f t="shared" si="1"/>
        <v>0.46666666666666667</v>
      </c>
      <c r="P6" s="29">
        <f t="shared" si="2"/>
        <v>0.79487179487179482</v>
      </c>
      <c r="Q6" s="29">
        <f t="shared" si="3"/>
        <v>0.7</v>
      </c>
      <c r="R6" s="29">
        <f t="shared" si="4"/>
        <v>0.77551020408163263</v>
      </c>
      <c r="V6" s="138" t="s">
        <v>467</v>
      </c>
      <c r="W6" s="139">
        <f>SUM(W4:W5)</f>
        <v>31</v>
      </c>
      <c r="X6" s="139">
        <f>SUM(X4:X5)</f>
        <v>18</v>
      </c>
      <c r="Y6" s="140">
        <f t="shared" si="5"/>
        <v>49</v>
      </c>
    </row>
    <row r="7" spans="1:25" x14ac:dyDescent="0.3">
      <c r="A7" s="1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1:25" ht="16.2" thickBot="1" x14ac:dyDescent="0.35">
      <c r="A8" s="3" t="s">
        <v>246</v>
      </c>
      <c r="B8" s="4">
        <v>25</v>
      </c>
      <c r="I8" s="23"/>
      <c r="J8" s="23"/>
      <c r="K8" s="23"/>
      <c r="L8" s="23"/>
      <c r="M8" s="23"/>
      <c r="N8" s="23"/>
      <c r="O8" s="23"/>
      <c r="P8" s="23"/>
      <c r="Q8" s="23"/>
      <c r="R8" s="23"/>
    </row>
    <row r="9" spans="1:25" ht="16.2" thickBot="1" x14ac:dyDescent="0.35">
      <c r="A9" s="3" t="s">
        <v>247</v>
      </c>
      <c r="B9" s="4">
        <v>3</v>
      </c>
      <c r="I9" s="225" t="s">
        <v>271</v>
      </c>
      <c r="J9" s="225"/>
      <c r="K9" s="225"/>
      <c r="L9" s="225"/>
      <c r="M9" s="225"/>
      <c r="N9" s="225"/>
      <c r="O9" s="225"/>
      <c r="P9" s="225"/>
      <c r="Q9" s="225"/>
      <c r="R9" s="225"/>
      <c r="V9" s="222" t="s">
        <v>471</v>
      </c>
      <c r="W9" s="223"/>
      <c r="X9" s="223"/>
      <c r="Y9" s="224"/>
    </row>
    <row r="10" spans="1:25" ht="16.2" thickBot="1" x14ac:dyDescent="0.35">
      <c r="A10" s="3" t="s">
        <v>248</v>
      </c>
      <c r="B10" s="4">
        <v>12</v>
      </c>
      <c r="I10" s="25" t="s">
        <v>0</v>
      </c>
      <c r="J10" s="26" t="s">
        <v>11</v>
      </c>
      <c r="K10" s="26" t="s">
        <v>12</v>
      </c>
      <c r="L10" s="26" t="s">
        <v>13</v>
      </c>
      <c r="M10" s="26" t="s">
        <v>14</v>
      </c>
      <c r="N10" s="26" t="s">
        <v>1</v>
      </c>
      <c r="O10" s="26" t="s">
        <v>2</v>
      </c>
      <c r="P10" s="26" t="s">
        <v>3</v>
      </c>
      <c r="Q10" s="26" t="s">
        <v>4</v>
      </c>
      <c r="R10" s="26" t="s">
        <v>5</v>
      </c>
      <c r="V10" s="135"/>
      <c r="W10" s="71" t="s">
        <v>468</v>
      </c>
      <c r="X10" s="71" t="s">
        <v>469</v>
      </c>
      <c r="Y10" s="136" t="s">
        <v>467</v>
      </c>
    </row>
    <row r="11" spans="1:25" ht="16.2" thickBot="1" x14ac:dyDescent="0.35">
      <c r="A11" s="3" t="s">
        <v>249</v>
      </c>
      <c r="B11" s="4">
        <v>9</v>
      </c>
      <c r="I11" s="27" t="s">
        <v>233</v>
      </c>
      <c r="J11" s="28">
        <v>70</v>
      </c>
      <c r="K11" s="28">
        <v>46</v>
      </c>
      <c r="L11" s="28">
        <v>16</v>
      </c>
      <c r="M11" s="28">
        <v>31</v>
      </c>
      <c r="N11" s="29">
        <f>J11/(J11+M11)</f>
        <v>0.69306930693069302</v>
      </c>
      <c r="O11" s="29">
        <f>K11/(K11+L11)</f>
        <v>0.74193548387096775</v>
      </c>
      <c r="P11" s="29">
        <f>J11/(J11+L11)</f>
        <v>0.81395348837209303</v>
      </c>
      <c r="Q11" s="29">
        <f>K11/(K11+M11)</f>
        <v>0.59740259740259738</v>
      </c>
      <c r="R11" s="29">
        <f>(J11+K11)/(J11+K11+L11+M11)</f>
        <v>0.71165644171779141</v>
      </c>
      <c r="V11" s="137" t="s">
        <v>465</v>
      </c>
      <c r="W11" s="71">
        <v>25</v>
      </c>
      <c r="X11" s="71">
        <v>9</v>
      </c>
      <c r="Y11" s="136">
        <f>SUM(W11:X11)</f>
        <v>34</v>
      </c>
    </row>
    <row r="12" spans="1:25" ht="16.2" thickBot="1" x14ac:dyDescent="0.35">
      <c r="A12" s="1"/>
      <c r="I12" s="27" t="s">
        <v>8</v>
      </c>
      <c r="J12" s="28">
        <v>91</v>
      </c>
      <c r="K12" s="28">
        <v>21</v>
      </c>
      <c r="L12" s="28">
        <v>41</v>
      </c>
      <c r="M12" s="28">
        <v>10</v>
      </c>
      <c r="N12" s="29">
        <f t="shared" ref="N12:N13" si="6">J12/(J12+M12)</f>
        <v>0.90099009900990101</v>
      </c>
      <c r="O12" s="29">
        <f t="shared" ref="O12:O13" si="7">K12/(K12+L12)</f>
        <v>0.33870967741935482</v>
      </c>
      <c r="P12" s="29">
        <f t="shared" ref="P12:P13" si="8">J12/(J12+L12)</f>
        <v>0.68939393939393945</v>
      </c>
      <c r="Q12" s="29">
        <f t="shared" ref="Q12:Q13" si="9">K12/(K12+M12)</f>
        <v>0.67741935483870963</v>
      </c>
      <c r="R12" s="29">
        <f t="shared" ref="R12:R13" si="10">(J12+K12)/(J12+K12+L12+M12)</f>
        <v>0.68711656441717794</v>
      </c>
      <c r="V12" s="137" t="s">
        <v>466</v>
      </c>
      <c r="W12" s="71">
        <v>12</v>
      </c>
      <c r="X12" s="71">
        <v>3</v>
      </c>
      <c r="Y12" s="136">
        <f t="shared" ref="Y12" si="11">SUM(W12:X12)</f>
        <v>15</v>
      </c>
    </row>
    <row r="13" spans="1:25" ht="16.2" thickBot="1" x14ac:dyDescent="0.35">
      <c r="A13" s="3" t="s">
        <v>250</v>
      </c>
      <c r="B13" s="4">
        <v>31</v>
      </c>
      <c r="I13" s="27" t="s">
        <v>280</v>
      </c>
      <c r="J13" s="28">
        <v>89</v>
      </c>
      <c r="K13" s="28">
        <v>26</v>
      </c>
      <c r="L13" s="28">
        <v>36</v>
      </c>
      <c r="M13" s="28">
        <v>12</v>
      </c>
      <c r="N13" s="29">
        <f t="shared" si="6"/>
        <v>0.88118811881188119</v>
      </c>
      <c r="O13" s="29">
        <f t="shared" si="7"/>
        <v>0.41935483870967744</v>
      </c>
      <c r="P13" s="29">
        <f t="shared" si="8"/>
        <v>0.71199999999999997</v>
      </c>
      <c r="Q13" s="29">
        <f t="shared" si="9"/>
        <v>0.68421052631578949</v>
      </c>
      <c r="R13" s="29">
        <f t="shared" si="10"/>
        <v>0.70552147239263807</v>
      </c>
      <c r="V13" s="138" t="s">
        <v>467</v>
      </c>
      <c r="W13" s="139">
        <f>SUM(W11:W12)</f>
        <v>37</v>
      </c>
      <c r="X13" s="139">
        <f t="shared" ref="X13:Y13" si="12">SUM(X11:X12)</f>
        <v>12</v>
      </c>
      <c r="Y13" s="140">
        <f t="shared" si="12"/>
        <v>49</v>
      </c>
    </row>
    <row r="14" spans="1:25" ht="15.6" x14ac:dyDescent="0.3">
      <c r="A14" s="3" t="s">
        <v>251</v>
      </c>
      <c r="B14" s="4">
        <v>6</v>
      </c>
    </row>
    <row r="15" spans="1:25" ht="16.2" thickBot="1" x14ac:dyDescent="0.35">
      <c r="A15" s="3" t="s">
        <v>252</v>
      </c>
      <c r="B15" s="4">
        <v>9</v>
      </c>
    </row>
    <row r="16" spans="1:25" ht="15.6" x14ac:dyDescent="0.3">
      <c r="A16" s="3" t="s">
        <v>253</v>
      </c>
      <c r="B16" s="4">
        <v>3</v>
      </c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V16" s="222" t="s">
        <v>472</v>
      </c>
      <c r="W16" s="223"/>
      <c r="X16" s="223"/>
      <c r="Y16" s="224"/>
    </row>
    <row r="17" spans="1:25" ht="15.6" x14ac:dyDescent="0.3">
      <c r="A17" s="3"/>
      <c r="B17" s="4"/>
      <c r="I17" s="40"/>
      <c r="J17" s="40"/>
      <c r="K17" s="40"/>
      <c r="L17" s="40"/>
      <c r="M17" s="40"/>
      <c r="N17" s="40"/>
      <c r="O17" s="40"/>
      <c r="P17" s="40"/>
      <c r="Q17" s="40"/>
      <c r="R17" s="40"/>
      <c r="V17" s="135"/>
      <c r="W17" s="71" t="s">
        <v>468</v>
      </c>
      <c r="X17" s="71" t="s">
        <v>469</v>
      </c>
      <c r="Y17" s="136" t="s">
        <v>467</v>
      </c>
    </row>
    <row r="18" spans="1:25" ht="15.6" x14ac:dyDescent="0.3">
      <c r="A18" s="3" t="s">
        <v>272</v>
      </c>
      <c r="B18" s="4">
        <v>31</v>
      </c>
      <c r="I18" s="129"/>
      <c r="J18" s="41"/>
      <c r="K18" s="41"/>
      <c r="L18" s="41"/>
      <c r="M18" s="41"/>
      <c r="N18" s="42"/>
      <c r="O18" s="42"/>
      <c r="P18" s="42"/>
      <c r="Q18" s="42"/>
      <c r="R18" s="42"/>
      <c r="V18" s="137" t="s">
        <v>465</v>
      </c>
      <c r="W18" s="71">
        <v>31</v>
      </c>
      <c r="X18" s="71">
        <v>3</v>
      </c>
      <c r="Y18" s="136">
        <f>SUM(W18:X18)</f>
        <v>34</v>
      </c>
    </row>
    <row r="19" spans="1:25" ht="15.6" x14ac:dyDescent="0.3">
      <c r="A19" s="3" t="s">
        <v>273</v>
      </c>
      <c r="B19" s="4">
        <v>7</v>
      </c>
      <c r="I19" s="129"/>
      <c r="J19" s="41"/>
      <c r="K19" s="41"/>
      <c r="L19" s="41"/>
      <c r="M19" s="41"/>
      <c r="N19" s="42"/>
      <c r="O19" s="42"/>
      <c r="P19" s="42"/>
      <c r="Q19" s="42"/>
      <c r="R19" s="42"/>
      <c r="V19" s="137" t="s">
        <v>466</v>
      </c>
      <c r="W19" s="71">
        <v>8</v>
      </c>
      <c r="X19" s="71">
        <v>7</v>
      </c>
      <c r="Y19" s="136">
        <f t="shared" ref="Y19:Y20" si="13">SUM(W19:X19)</f>
        <v>15</v>
      </c>
    </row>
    <row r="20" spans="1:25" ht="16.2" thickBot="1" x14ac:dyDescent="0.35">
      <c r="A20" s="3" t="s">
        <v>274</v>
      </c>
      <c r="B20" s="4">
        <v>8</v>
      </c>
      <c r="I20" s="129"/>
      <c r="J20" s="41"/>
      <c r="K20" s="41"/>
      <c r="L20" s="41"/>
      <c r="M20" s="41"/>
      <c r="N20" s="42"/>
      <c r="O20" s="42"/>
      <c r="P20" s="42"/>
      <c r="Q20" s="42"/>
      <c r="R20" s="42"/>
      <c r="V20" s="138" t="s">
        <v>467</v>
      </c>
      <c r="W20" s="139">
        <f>SUM(W18:W19)</f>
        <v>39</v>
      </c>
      <c r="X20" s="139">
        <f t="shared" ref="X20" si="14">SUM(X18:X19)</f>
        <v>10</v>
      </c>
      <c r="Y20" s="140">
        <f t="shared" si="13"/>
        <v>49</v>
      </c>
    </row>
    <row r="21" spans="1:25" ht="15.6" x14ac:dyDescent="0.3">
      <c r="A21" s="3" t="s">
        <v>275</v>
      </c>
      <c r="B21" s="4">
        <v>3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25" ht="16.2" thickBot="1" x14ac:dyDescent="0.35">
      <c r="A22" s="3"/>
      <c r="B22" s="4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25" ht="15.6" x14ac:dyDescent="0.3">
      <c r="A23" s="3" t="s">
        <v>238</v>
      </c>
      <c r="B23" s="4">
        <v>70</v>
      </c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V23" s="222" t="s">
        <v>473</v>
      </c>
      <c r="W23" s="223"/>
      <c r="X23" s="223"/>
      <c r="Y23" s="224"/>
    </row>
    <row r="24" spans="1:25" ht="15.6" x14ac:dyDescent="0.3">
      <c r="A24" s="3" t="s">
        <v>239</v>
      </c>
      <c r="B24" s="4">
        <v>46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V24" s="135"/>
      <c r="W24" s="71" t="s">
        <v>468</v>
      </c>
      <c r="X24" s="71" t="s">
        <v>469</v>
      </c>
      <c r="Y24" s="136" t="s">
        <v>467</v>
      </c>
    </row>
    <row r="25" spans="1:25" ht="15.6" x14ac:dyDescent="0.3">
      <c r="A25" s="3" t="s">
        <v>240</v>
      </c>
      <c r="B25" s="4">
        <v>16</v>
      </c>
      <c r="I25" s="129"/>
      <c r="J25" s="41"/>
      <c r="K25" s="41"/>
      <c r="L25" s="41"/>
      <c r="M25" s="41"/>
      <c r="N25" s="42"/>
      <c r="O25" s="42"/>
      <c r="P25" s="42"/>
      <c r="Q25" s="42"/>
      <c r="R25" s="42"/>
      <c r="V25" s="137" t="s">
        <v>465</v>
      </c>
      <c r="W25" s="71">
        <v>70</v>
      </c>
      <c r="X25" s="71">
        <v>31</v>
      </c>
      <c r="Y25" s="136">
        <f>SUM(W25:X25)</f>
        <v>101</v>
      </c>
    </row>
    <row r="26" spans="1:25" ht="15.6" x14ac:dyDescent="0.3">
      <c r="A26" s="3" t="s">
        <v>241</v>
      </c>
      <c r="B26" s="4">
        <v>31</v>
      </c>
      <c r="I26" s="129"/>
      <c r="J26" s="41"/>
      <c r="K26" s="41"/>
      <c r="L26" s="41"/>
      <c r="M26" s="41"/>
      <c r="N26" s="42"/>
      <c r="O26" s="42"/>
      <c r="P26" s="42"/>
      <c r="Q26" s="42"/>
      <c r="R26" s="42"/>
      <c r="V26" s="137" t="s">
        <v>466</v>
      </c>
      <c r="W26" s="71">
        <v>16</v>
      </c>
      <c r="X26" s="71">
        <v>46</v>
      </c>
      <c r="Y26" s="136">
        <f t="shared" ref="Y26:Y27" si="15">SUM(W26:X26)</f>
        <v>62</v>
      </c>
    </row>
    <row r="27" spans="1:25" ht="16.2" thickBot="1" x14ac:dyDescent="0.35">
      <c r="A27" s="1"/>
      <c r="I27" s="129"/>
      <c r="J27" s="41"/>
      <c r="K27" s="41"/>
      <c r="L27" s="41"/>
      <c r="M27" s="41"/>
      <c r="N27" s="42"/>
      <c r="O27" s="42"/>
      <c r="P27" s="42"/>
      <c r="Q27" s="42"/>
      <c r="R27" s="42"/>
      <c r="V27" s="138" t="s">
        <v>467</v>
      </c>
      <c r="W27" s="139">
        <f>SUM(W25:W26)</f>
        <v>86</v>
      </c>
      <c r="X27" s="139">
        <f>SUM(X25:X26)</f>
        <v>77</v>
      </c>
      <c r="Y27" s="140">
        <f t="shared" si="15"/>
        <v>163</v>
      </c>
    </row>
    <row r="28" spans="1:25" ht="15.6" x14ac:dyDescent="0.3">
      <c r="A28" s="3" t="s">
        <v>254</v>
      </c>
      <c r="B28" s="4">
        <v>91</v>
      </c>
    </row>
    <row r="29" spans="1:25" ht="16.2" thickBot="1" x14ac:dyDescent="0.35">
      <c r="A29" s="3" t="s">
        <v>255</v>
      </c>
      <c r="B29" s="4">
        <v>21</v>
      </c>
    </row>
    <row r="30" spans="1:25" ht="15.6" x14ac:dyDescent="0.3">
      <c r="A30" s="3" t="s">
        <v>256</v>
      </c>
      <c r="B30" s="4">
        <v>41</v>
      </c>
      <c r="V30" s="222" t="s">
        <v>474</v>
      </c>
      <c r="W30" s="223"/>
      <c r="X30" s="223"/>
      <c r="Y30" s="224"/>
    </row>
    <row r="31" spans="1:25" ht="15.6" x14ac:dyDescent="0.3">
      <c r="A31" s="3" t="s">
        <v>257</v>
      </c>
      <c r="B31" s="4">
        <v>10</v>
      </c>
      <c r="V31" s="135"/>
      <c r="W31" s="71" t="s">
        <v>468</v>
      </c>
      <c r="X31" s="71" t="s">
        <v>469</v>
      </c>
      <c r="Y31" s="136" t="s">
        <v>467</v>
      </c>
    </row>
    <row r="32" spans="1:25" ht="15.6" x14ac:dyDescent="0.3">
      <c r="A32" s="1"/>
      <c r="V32" s="137" t="s">
        <v>465</v>
      </c>
      <c r="W32" s="71">
        <v>91</v>
      </c>
      <c r="X32" s="71">
        <v>10</v>
      </c>
      <c r="Y32" s="136">
        <f>SUM(W32:X32)</f>
        <v>101</v>
      </c>
    </row>
    <row r="33" spans="1:25" ht="15.6" x14ac:dyDescent="0.3">
      <c r="A33" s="3" t="s">
        <v>266</v>
      </c>
      <c r="B33" s="4">
        <v>88</v>
      </c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V33" s="137" t="s">
        <v>466</v>
      </c>
      <c r="W33" s="71">
        <v>41</v>
      </c>
      <c r="X33" s="71">
        <v>21</v>
      </c>
      <c r="Y33" s="136">
        <f t="shared" ref="Y33" si="16">SUM(W33:X33)</f>
        <v>62</v>
      </c>
    </row>
    <row r="34" spans="1:25" ht="16.2" thickBot="1" x14ac:dyDescent="0.35">
      <c r="A34" s="3" t="s">
        <v>267</v>
      </c>
      <c r="B34" s="4">
        <v>29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V34" s="138" t="s">
        <v>467</v>
      </c>
      <c r="W34" s="139">
        <f>SUM(W32:W33)</f>
        <v>132</v>
      </c>
      <c r="X34" s="139">
        <f t="shared" ref="X34" si="17">SUM(X32:X33)</f>
        <v>31</v>
      </c>
      <c r="Y34" s="140">
        <f t="shared" ref="Y34" si="18">SUM(Y32:Y33)</f>
        <v>163</v>
      </c>
    </row>
    <row r="35" spans="1:25" ht="15.6" x14ac:dyDescent="0.3">
      <c r="A35" s="3" t="s">
        <v>268</v>
      </c>
      <c r="B35" s="4">
        <v>33</v>
      </c>
      <c r="I35" s="129"/>
      <c r="J35" s="41"/>
      <c r="K35" s="41"/>
      <c r="L35" s="41"/>
      <c r="M35" s="41"/>
      <c r="N35" s="42"/>
      <c r="O35" s="42"/>
      <c r="P35" s="42"/>
      <c r="Q35" s="42"/>
      <c r="R35" s="42"/>
    </row>
    <row r="36" spans="1:25" ht="16.2" thickBot="1" x14ac:dyDescent="0.35">
      <c r="A36" s="3" t="s">
        <v>269</v>
      </c>
      <c r="B36" s="4">
        <v>13</v>
      </c>
      <c r="I36" s="129"/>
      <c r="J36" s="41"/>
      <c r="K36" s="41"/>
      <c r="L36" s="41"/>
      <c r="M36" s="41"/>
      <c r="N36" s="42"/>
      <c r="O36" s="42"/>
      <c r="P36" s="42"/>
      <c r="Q36" s="42"/>
      <c r="R36" s="42"/>
    </row>
    <row r="37" spans="1:25" ht="15.6" x14ac:dyDescent="0.3">
      <c r="A37" s="3"/>
      <c r="B37" s="4"/>
      <c r="I37" s="129"/>
      <c r="J37" s="41"/>
      <c r="K37" s="41"/>
      <c r="L37" s="41"/>
      <c r="M37" s="41"/>
      <c r="N37" s="42"/>
      <c r="O37" s="42"/>
      <c r="P37" s="42"/>
      <c r="Q37" s="42"/>
      <c r="R37" s="42"/>
      <c r="V37" s="222" t="s">
        <v>475</v>
      </c>
      <c r="W37" s="223"/>
      <c r="X37" s="223"/>
      <c r="Y37" s="224"/>
    </row>
    <row r="38" spans="1:25" ht="15.6" x14ac:dyDescent="0.3">
      <c r="A38" s="3" t="s">
        <v>281</v>
      </c>
      <c r="B38" s="4">
        <v>89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V38" s="135"/>
      <c r="W38" s="71" t="s">
        <v>468</v>
      </c>
      <c r="X38" s="71" t="s">
        <v>469</v>
      </c>
      <c r="Y38" s="136" t="s">
        <v>467</v>
      </c>
    </row>
    <row r="39" spans="1:25" ht="15.6" x14ac:dyDescent="0.3">
      <c r="A39" s="3" t="s">
        <v>282</v>
      </c>
      <c r="B39" s="4">
        <v>26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V39" s="137" t="s">
        <v>465</v>
      </c>
      <c r="W39" s="71">
        <v>89</v>
      </c>
      <c r="X39" s="71">
        <v>12</v>
      </c>
      <c r="Y39" s="136">
        <f>SUM(W39:X39)</f>
        <v>101</v>
      </c>
    </row>
    <row r="40" spans="1:25" ht="15.6" x14ac:dyDescent="0.3">
      <c r="A40" s="3" t="s">
        <v>283</v>
      </c>
      <c r="B40" s="4">
        <v>36</v>
      </c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V40" s="137" t="s">
        <v>466</v>
      </c>
      <c r="W40" s="71">
        <v>36</v>
      </c>
      <c r="X40" s="71">
        <v>26</v>
      </c>
      <c r="Y40" s="136">
        <f t="shared" ref="Y40:Y41" si="19">SUM(W40:X40)</f>
        <v>62</v>
      </c>
    </row>
    <row r="41" spans="1:25" ht="16.2" thickBot="1" x14ac:dyDescent="0.35">
      <c r="A41" s="3" t="s">
        <v>284</v>
      </c>
      <c r="B41" s="4">
        <v>12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V41" s="138" t="s">
        <v>467</v>
      </c>
      <c r="W41" s="139">
        <f>SUM(W39:W40)</f>
        <v>125</v>
      </c>
      <c r="X41" s="139">
        <f t="shared" ref="X41" si="20">SUM(X39:X40)</f>
        <v>38</v>
      </c>
      <c r="Y41" s="140">
        <f t="shared" si="19"/>
        <v>163</v>
      </c>
    </row>
    <row r="42" spans="1:25" ht="15.6" x14ac:dyDescent="0.3">
      <c r="A42" s="3"/>
      <c r="B42" s="4"/>
      <c r="I42" s="129"/>
      <c r="J42" s="41"/>
      <c r="K42" s="41"/>
      <c r="L42" s="41"/>
      <c r="M42" s="41"/>
      <c r="N42" s="42"/>
      <c r="O42" s="42"/>
      <c r="P42" s="42"/>
      <c r="Q42" s="42"/>
      <c r="R42" s="42"/>
    </row>
    <row r="43" spans="1:25" ht="15.6" x14ac:dyDescent="0.3">
      <c r="A43" s="3"/>
      <c r="B43" s="4"/>
      <c r="I43" s="129"/>
      <c r="J43" s="41"/>
      <c r="K43" s="41"/>
      <c r="L43" s="41"/>
      <c r="M43" s="41"/>
      <c r="N43" s="42"/>
      <c r="O43" s="42"/>
      <c r="P43" s="42"/>
      <c r="Q43" s="42"/>
      <c r="R43" s="42"/>
    </row>
    <row r="44" spans="1:25" ht="15.6" x14ac:dyDescent="0.3">
      <c r="A44" s="1"/>
      <c r="I44" s="129"/>
      <c r="J44" s="41"/>
      <c r="K44" s="41"/>
      <c r="L44" s="41"/>
      <c r="M44" s="41"/>
      <c r="N44" s="42"/>
      <c r="O44" s="42"/>
      <c r="P44" s="42"/>
      <c r="Q44" s="42"/>
      <c r="R44" s="42"/>
    </row>
    <row r="45" spans="1:25" x14ac:dyDescent="0.3">
      <c r="A45" s="1"/>
    </row>
    <row r="46" spans="1:25" x14ac:dyDescent="0.3">
      <c r="A46" s="1"/>
    </row>
    <row r="47" spans="1:25" x14ac:dyDescent="0.3">
      <c r="A47" s="1"/>
    </row>
    <row r="48" spans="1:25" x14ac:dyDescent="0.3">
      <c r="A48" s="1"/>
    </row>
    <row r="49" spans="1:2" x14ac:dyDescent="0.3">
      <c r="A49" s="1"/>
    </row>
    <row r="50" spans="1:2" x14ac:dyDescent="0.3">
      <c r="A50" s="1"/>
    </row>
    <row r="51" spans="1:2" x14ac:dyDescent="0.3">
      <c r="A51" s="1"/>
    </row>
    <row r="52" spans="1:2" x14ac:dyDescent="0.3">
      <c r="A52" s="1"/>
    </row>
    <row r="53" spans="1:2" x14ac:dyDescent="0.3">
      <c r="A53" s="1"/>
    </row>
    <row r="54" spans="1:2" x14ac:dyDescent="0.3">
      <c r="A54" s="1"/>
    </row>
    <row r="55" spans="1:2" x14ac:dyDescent="0.3">
      <c r="A55" s="1"/>
    </row>
    <row r="56" spans="1:2" x14ac:dyDescent="0.3">
      <c r="A56" s="1"/>
    </row>
    <row r="57" spans="1:2" x14ac:dyDescent="0.3">
      <c r="A57" s="1"/>
    </row>
    <row r="58" spans="1:2" x14ac:dyDescent="0.3">
      <c r="A58" s="1"/>
    </row>
    <row r="59" spans="1:2" x14ac:dyDescent="0.3">
      <c r="A59" s="1"/>
    </row>
    <row r="60" spans="1:2" x14ac:dyDescent="0.3">
      <c r="A60" s="1"/>
    </row>
    <row r="61" spans="1:2" ht="15.6" x14ac:dyDescent="0.3">
      <c r="A61" s="3"/>
      <c r="B61" s="4"/>
    </row>
    <row r="62" spans="1:2" ht="15.6" x14ac:dyDescent="0.3">
      <c r="A62" s="3"/>
      <c r="B62" s="4"/>
    </row>
    <row r="63" spans="1:2" ht="15.6" x14ac:dyDescent="0.3">
      <c r="A63" s="3"/>
      <c r="B63" s="4"/>
    </row>
    <row r="64" spans="1:2" ht="15.6" x14ac:dyDescent="0.3">
      <c r="A64" s="3"/>
      <c r="B64" s="4"/>
    </row>
    <row r="65" spans="1:2" x14ac:dyDescent="0.3">
      <c r="A65" s="1"/>
    </row>
    <row r="66" spans="1:2" ht="15.6" x14ac:dyDescent="0.3">
      <c r="A66" s="3"/>
      <c r="B66" s="4"/>
    </row>
    <row r="67" spans="1:2" ht="15.6" x14ac:dyDescent="0.3">
      <c r="A67" s="3"/>
      <c r="B67" s="4"/>
    </row>
    <row r="68" spans="1:2" ht="15.6" x14ac:dyDescent="0.3">
      <c r="A68" s="3"/>
      <c r="B68" s="4"/>
    </row>
    <row r="69" spans="1:2" ht="15.6" x14ac:dyDescent="0.3">
      <c r="A69" s="3"/>
      <c r="B69" s="4"/>
    </row>
    <row r="70" spans="1:2" x14ac:dyDescent="0.3">
      <c r="A70" s="1"/>
    </row>
    <row r="71" spans="1:2" ht="15.6" x14ac:dyDescent="0.3">
      <c r="A71" s="3"/>
      <c r="B71" s="4"/>
    </row>
    <row r="72" spans="1:2" ht="15.6" x14ac:dyDescent="0.3">
      <c r="A72" s="3"/>
      <c r="B72" s="4"/>
    </row>
    <row r="73" spans="1:2" ht="15.6" x14ac:dyDescent="0.3">
      <c r="A73" s="3"/>
      <c r="B73" s="4"/>
    </row>
    <row r="74" spans="1:2" ht="15.6" x14ac:dyDescent="0.3">
      <c r="A74" s="3"/>
      <c r="B74" s="4"/>
    </row>
    <row r="75" spans="1:2" x14ac:dyDescent="0.3">
      <c r="A75" s="1"/>
    </row>
    <row r="76" spans="1:2" ht="15.6" x14ac:dyDescent="0.3">
      <c r="A76" s="3"/>
      <c r="B76" s="4"/>
    </row>
    <row r="77" spans="1:2" ht="15.6" x14ac:dyDescent="0.3">
      <c r="A77" s="3"/>
      <c r="B77" s="4"/>
    </row>
    <row r="78" spans="1:2" ht="15.6" x14ac:dyDescent="0.3">
      <c r="A78" s="3"/>
      <c r="B78" s="4"/>
    </row>
    <row r="79" spans="1:2" ht="15.6" x14ac:dyDescent="0.3">
      <c r="A79" s="3"/>
      <c r="B79" s="4"/>
    </row>
    <row r="80" spans="1:2" x14ac:dyDescent="0.3">
      <c r="A80" s="1"/>
    </row>
    <row r="81" spans="1:2" ht="15.6" x14ac:dyDescent="0.3">
      <c r="A81" s="3"/>
      <c r="B81" s="4"/>
    </row>
    <row r="82" spans="1:2" ht="15.6" x14ac:dyDescent="0.3">
      <c r="A82" s="3"/>
      <c r="B82" s="4"/>
    </row>
    <row r="83" spans="1:2" ht="15.6" x14ac:dyDescent="0.3">
      <c r="A83" s="3"/>
      <c r="B83" s="4"/>
    </row>
    <row r="84" spans="1:2" ht="15.6" x14ac:dyDescent="0.3">
      <c r="A84" s="3"/>
      <c r="B84" s="4"/>
    </row>
    <row r="85" spans="1:2" x14ac:dyDescent="0.3">
      <c r="A85" s="1"/>
    </row>
    <row r="86" spans="1:2" ht="15.6" x14ac:dyDescent="0.3">
      <c r="A86" s="3"/>
      <c r="B86" s="4"/>
    </row>
    <row r="87" spans="1:2" ht="15.6" x14ac:dyDescent="0.3">
      <c r="A87" s="3"/>
      <c r="B87" s="4"/>
    </row>
    <row r="88" spans="1:2" ht="15.6" x14ac:dyDescent="0.3">
      <c r="A88" s="3"/>
      <c r="B88" s="4"/>
    </row>
    <row r="89" spans="1:2" ht="15.6" x14ac:dyDescent="0.3">
      <c r="A89" s="3"/>
      <c r="B89" s="4"/>
    </row>
    <row r="90" spans="1:2" x14ac:dyDescent="0.3">
      <c r="A90" s="1"/>
    </row>
    <row r="91" spans="1:2" x14ac:dyDescent="0.3">
      <c r="A91" s="1"/>
    </row>
    <row r="92" spans="1:2" x14ac:dyDescent="0.3">
      <c r="A92" s="1"/>
    </row>
    <row r="93" spans="1:2" x14ac:dyDescent="0.3">
      <c r="A93" s="1"/>
    </row>
    <row r="94" spans="1:2" x14ac:dyDescent="0.3">
      <c r="A94" s="1"/>
    </row>
    <row r="95" spans="1:2" x14ac:dyDescent="0.3">
      <c r="A95" s="1"/>
    </row>
    <row r="96" spans="1:2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</sheetData>
  <autoFilter ref="A1:R256" xr:uid="{413AC4FD-27FB-4A7E-A226-B5864C4158C0}"/>
  <mergeCells count="8">
    <mergeCell ref="V30:Y30"/>
    <mergeCell ref="V37:Y37"/>
    <mergeCell ref="I2:R2"/>
    <mergeCell ref="I9:R9"/>
    <mergeCell ref="V2:Y2"/>
    <mergeCell ref="V9:Y9"/>
    <mergeCell ref="V16:Y16"/>
    <mergeCell ref="V23:Y23"/>
  </mergeCells>
  <dataValidations count="3">
    <dataValidation type="whole" allowBlank="1" showInputMessage="1" showErrorMessage="1" sqref="C257:C16379 C251:C253 E2:E16379 C30:C35 C51:C66 C82:C87 C93:C94 C105:C117 C101:C103 C125:C127 C142:C143 C129:C131 C145:C146 C135:C137 C149:C150 C154:C157 C164:C172 C161:C162 C175:C176 C178:C182 C189:C193 C198:C208 C212:C213 C220:C221 C223:C227 C217:C218 C236:C239 C241:C249 F167:F170 F172:F175 F199:F219 F225:F226 F161:F165 C70:C73 C26:C28 C17:C22 F177:F185 F221:F223 F238:F248 C47 C119 C159 C229 C233 F228:F236 C195 C184:C187 F187:F197 C152 F151:F159 C140 C123 C98 C121 C49 F49:F58 C79 C89 C91 F88:F149 C77 C75 C68 F60:F86 C42 C44 C38 C40 F2:F47 C255 F250:F16379 C5:C15 D2:D4" xr:uid="{C43CBACB-0137-4707-95EC-0B53B3A5D341}">
      <formula1>0</formula1>
      <formula2>5</formula2>
    </dataValidation>
    <dataValidation type="whole" allowBlank="1" showInputMessage="1" showErrorMessage="1" sqref="C24:C25 C29 C36:C37 C39 C41 C43 C45:C46 F249 C50 C67 C69:D69 C76 C78 C80:C81 C88 C90 C92 C95:C97 C99:C100 C104 C118 C120 C122 C124 C128 C132:C134 C138:C139 C141 C144 C147:C148 C151 C153 C158 C163 C173:C174 C177 C183 F166 C188 C194 C196:C197 C209:C211 C214:C216 C219 C222 C228 C230:C232 C234:C235 C240 C250 C254 C256 C74 F59 F87 F150 F160 F171 F176 F198 F220 F224 F227 F237 F186 C48 F48" xr:uid="{29BB6B3C-BA8F-49C3-B8D2-D657A369668F}">
      <formula1>0</formula1>
      <formula2>7</formula2>
    </dataValidation>
    <dataValidation type="whole" allowBlank="1" showInputMessage="1" showErrorMessage="1" sqref="C16 C23" xr:uid="{918885F9-8357-4B20-AE10-48D38D33D638}">
      <formula1>0</formula1>
      <formula2>12</formula2>
    </dataValidation>
  </dataValidation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5A46-06A6-4E62-AD1F-C0850F7DEC47}">
  <dimension ref="A2:AJ238"/>
  <sheetViews>
    <sheetView zoomScale="60" zoomScaleNormal="60" workbookViewId="0">
      <selection activeCell="AL135" sqref="AL135"/>
    </sheetView>
  </sheetViews>
  <sheetFormatPr defaultRowHeight="14.4" x14ac:dyDescent="0.3"/>
  <cols>
    <col min="1" max="1" width="75.77734375" customWidth="1"/>
    <col min="4" max="4" width="99.88671875" customWidth="1"/>
    <col min="7" max="7" width="91" customWidth="1"/>
    <col min="10" max="10" width="95.77734375" customWidth="1"/>
    <col min="13" max="13" width="21.5546875" customWidth="1"/>
    <col min="14" max="14" width="14.21875" bestFit="1" customWidth="1"/>
    <col min="15" max="15" width="15.33203125" bestFit="1" customWidth="1"/>
    <col min="16" max="16" width="14.77734375" bestFit="1" customWidth="1"/>
    <col min="17" max="17" width="15.6640625" bestFit="1" customWidth="1"/>
    <col min="18" max="18" width="14.21875" customWidth="1"/>
    <col min="19" max="19" width="13.88671875" customWidth="1"/>
    <col min="20" max="20" width="10.33203125" customWidth="1"/>
    <col min="21" max="21" width="10.77734375" customWidth="1"/>
    <col min="22" max="22" width="11.44140625" customWidth="1"/>
    <col min="26" max="26" width="15.6640625" bestFit="1" customWidth="1"/>
    <col min="27" max="27" width="17.5546875" bestFit="1" customWidth="1"/>
    <col min="28" max="28" width="18.109375" bestFit="1" customWidth="1"/>
    <col min="29" max="29" width="33.21875" customWidth="1"/>
    <col min="33" max="33" width="15.6640625" bestFit="1" customWidth="1"/>
    <col min="34" max="34" width="17.5546875" bestFit="1" customWidth="1"/>
    <col min="35" max="35" width="18.109375" bestFit="1" customWidth="1"/>
    <col min="36" max="36" width="33.44140625" customWidth="1"/>
  </cols>
  <sheetData>
    <row r="2" spans="1:36" ht="16.2" thickBot="1" x14ac:dyDescent="0.35">
      <c r="M2" s="133"/>
      <c r="N2" s="134"/>
      <c r="O2" s="134"/>
      <c r="P2" s="134"/>
      <c r="Q2" s="134"/>
      <c r="R2" s="134"/>
      <c r="S2" s="134"/>
      <c r="T2" s="134"/>
      <c r="U2" s="134"/>
      <c r="V2" s="134"/>
    </row>
    <row r="3" spans="1:36" ht="16.2" thickBot="1" x14ac:dyDescent="0.35">
      <c r="A3" s="30" t="s">
        <v>285</v>
      </c>
      <c r="B3" s="31">
        <v>6</v>
      </c>
      <c r="D3" s="45" t="s">
        <v>321</v>
      </c>
      <c r="E3" s="46">
        <v>3</v>
      </c>
      <c r="G3" s="54" t="s">
        <v>357</v>
      </c>
      <c r="H3" s="55">
        <v>0</v>
      </c>
      <c r="J3" s="63" t="s">
        <v>393</v>
      </c>
      <c r="K3" s="64">
        <v>1</v>
      </c>
      <c r="M3" s="226" t="s">
        <v>476</v>
      </c>
      <c r="N3" s="227"/>
      <c r="O3" s="227"/>
      <c r="P3" s="227"/>
      <c r="Q3" s="227"/>
      <c r="R3" s="227"/>
      <c r="S3" s="227"/>
      <c r="T3" s="227"/>
      <c r="U3" s="227"/>
      <c r="V3" s="228"/>
      <c r="Z3" s="262" t="s">
        <v>491</v>
      </c>
      <c r="AA3" s="263"/>
      <c r="AB3" s="263"/>
      <c r="AC3" s="264"/>
      <c r="AG3" s="280" t="s">
        <v>507</v>
      </c>
      <c r="AH3" s="281"/>
      <c r="AI3" s="281"/>
      <c r="AJ3" s="282"/>
    </row>
    <row r="4" spans="1:36" ht="16.2" thickBot="1" x14ac:dyDescent="0.35">
      <c r="A4" s="30" t="s">
        <v>286</v>
      </c>
      <c r="B4" s="31">
        <v>2</v>
      </c>
      <c r="D4" s="45" t="s">
        <v>322</v>
      </c>
      <c r="E4" s="46">
        <v>3</v>
      </c>
      <c r="G4" s="54" t="s">
        <v>358</v>
      </c>
      <c r="H4" s="55">
        <v>1</v>
      </c>
      <c r="J4" s="63" t="s">
        <v>394</v>
      </c>
      <c r="K4" s="64">
        <v>0</v>
      </c>
      <c r="M4" s="74" t="s">
        <v>0</v>
      </c>
      <c r="N4" s="75" t="s">
        <v>11</v>
      </c>
      <c r="O4" s="75" t="s">
        <v>12</v>
      </c>
      <c r="P4" s="75" t="s">
        <v>13</v>
      </c>
      <c r="Q4" s="75" t="s">
        <v>14</v>
      </c>
      <c r="R4" s="75" t="s">
        <v>1</v>
      </c>
      <c r="S4" s="75" t="s">
        <v>2</v>
      </c>
      <c r="T4" s="75" t="s">
        <v>3</v>
      </c>
      <c r="U4" s="75" t="s">
        <v>4</v>
      </c>
      <c r="V4" s="75" t="s">
        <v>5</v>
      </c>
      <c r="Z4" s="135"/>
      <c r="AA4" s="31" t="s">
        <v>468</v>
      </c>
      <c r="AB4" s="31" t="s">
        <v>469</v>
      </c>
      <c r="AC4" s="141" t="s">
        <v>467</v>
      </c>
      <c r="AG4" s="135"/>
      <c r="AH4" s="55" t="s">
        <v>468</v>
      </c>
      <c r="AI4" s="55" t="s">
        <v>469</v>
      </c>
      <c r="AJ4" s="175" t="s">
        <v>467</v>
      </c>
    </row>
    <row r="5" spans="1:36" ht="16.2" thickBot="1" x14ac:dyDescent="0.35">
      <c r="A5" s="30" t="s">
        <v>287</v>
      </c>
      <c r="B5" s="31">
        <v>1</v>
      </c>
      <c r="D5" s="45" t="s">
        <v>323</v>
      </c>
      <c r="E5" s="46">
        <v>1</v>
      </c>
      <c r="G5" s="54" t="s">
        <v>359</v>
      </c>
      <c r="H5" s="55">
        <v>0</v>
      </c>
      <c r="J5" s="63" t="s">
        <v>395</v>
      </c>
      <c r="K5" s="64">
        <v>2</v>
      </c>
      <c r="M5" s="76" t="s">
        <v>233</v>
      </c>
      <c r="N5" s="77">
        <v>6</v>
      </c>
      <c r="O5" s="77">
        <v>2</v>
      </c>
      <c r="P5" s="77">
        <v>1</v>
      </c>
      <c r="Q5" s="77">
        <v>4</v>
      </c>
      <c r="R5" s="78">
        <f>N5/(N5+Q5)</f>
        <v>0.6</v>
      </c>
      <c r="S5" s="78">
        <f>O5/(O5+P5)</f>
        <v>0.66666666666666663</v>
      </c>
      <c r="T5" s="78">
        <f>N5/(N5+P5)</f>
        <v>0.8571428571428571</v>
      </c>
      <c r="U5" s="78">
        <f>O5/(O5+Q5)</f>
        <v>0.33333333333333331</v>
      </c>
      <c r="V5" s="78">
        <f>(N5+O5)/(N5+O5+P5+Q5)</f>
        <v>0.61538461538461542</v>
      </c>
      <c r="Z5" s="142" t="s">
        <v>465</v>
      </c>
      <c r="AA5" s="31">
        <v>6</v>
      </c>
      <c r="AB5" s="31">
        <v>4</v>
      </c>
      <c r="AC5" s="141">
        <f>SUM(AA5:AB5)</f>
        <v>10</v>
      </c>
      <c r="AG5" s="176" t="s">
        <v>465</v>
      </c>
      <c r="AH5" s="55">
        <v>0</v>
      </c>
      <c r="AI5" s="55">
        <v>1</v>
      </c>
      <c r="AJ5" s="175">
        <f>SUM(AH5:AI5)</f>
        <v>1</v>
      </c>
    </row>
    <row r="6" spans="1:36" ht="16.2" thickBot="1" x14ac:dyDescent="0.35">
      <c r="A6" s="30" t="s">
        <v>288</v>
      </c>
      <c r="B6" s="31">
        <v>4</v>
      </c>
      <c r="D6" s="45" t="s">
        <v>324</v>
      </c>
      <c r="E6" s="46">
        <v>1</v>
      </c>
      <c r="G6" s="54" t="s">
        <v>360</v>
      </c>
      <c r="H6" s="55">
        <v>1</v>
      </c>
      <c r="J6" s="63" t="s">
        <v>396</v>
      </c>
      <c r="K6" s="64">
        <v>0</v>
      </c>
      <c r="M6" s="76" t="s">
        <v>8</v>
      </c>
      <c r="N6" s="77">
        <v>6</v>
      </c>
      <c r="O6" s="77">
        <v>1</v>
      </c>
      <c r="P6" s="77">
        <v>2</v>
      </c>
      <c r="Q6" s="77">
        <v>4</v>
      </c>
      <c r="R6" s="78">
        <f t="shared" ref="R6:R7" si="0">N6/(N6+Q6)</f>
        <v>0.6</v>
      </c>
      <c r="S6" s="78">
        <f t="shared" ref="S6:S7" si="1">O6/(O6+P6)</f>
        <v>0.33333333333333331</v>
      </c>
      <c r="T6" s="78">
        <f t="shared" ref="T6:T7" si="2">N6/(N6+P6)</f>
        <v>0.75</v>
      </c>
      <c r="U6" s="78">
        <f t="shared" ref="U6:U7" si="3">O6/(O6+Q6)</f>
        <v>0.2</v>
      </c>
      <c r="V6" s="78">
        <f t="shared" ref="V6:V7" si="4">(N6+O6)/(N6+O6+P6+Q6)</f>
        <v>0.53846153846153844</v>
      </c>
      <c r="Z6" s="142" t="s">
        <v>466</v>
      </c>
      <c r="AA6" s="31">
        <v>1</v>
      </c>
      <c r="AB6" s="31">
        <v>2</v>
      </c>
      <c r="AC6" s="141">
        <f t="shared" ref="AC6:AC7" si="5">SUM(AA6:AB6)</f>
        <v>3</v>
      </c>
      <c r="AG6" s="176" t="s">
        <v>466</v>
      </c>
      <c r="AH6" s="55">
        <v>0</v>
      </c>
      <c r="AI6" s="55">
        <v>1</v>
      </c>
      <c r="AJ6" s="175">
        <f t="shared" ref="AJ6:AJ7" si="6">SUM(AH6:AI6)</f>
        <v>1</v>
      </c>
    </row>
    <row r="7" spans="1:36" ht="16.2" thickBot="1" x14ac:dyDescent="0.35">
      <c r="A7" s="32"/>
      <c r="B7" s="32"/>
      <c r="D7" s="47"/>
      <c r="E7" s="47"/>
      <c r="G7" s="56"/>
      <c r="H7" s="56"/>
      <c r="J7" s="10"/>
      <c r="K7" s="10"/>
      <c r="M7" s="130" t="s">
        <v>280</v>
      </c>
      <c r="N7" s="131">
        <v>9</v>
      </c>
      <c r="O7" s="131">
        <v>1</v>
      </c>
      <c r="P7" s="131">
        <v>2</v>
      </c>
      <c r="Q7" s="131">
        <v>1</v>
      </c>
      <c r="R7" s="132">
        <f t="shared" si="0"/>
        <v>0.9</v>
      </c>
      <c r="S7" s="132">
        <f t="shared" si="1"/>
        <v>0.33333333333333331</v>
      </c>
      <c r="T7" s="132">
        <f t="shared" si="2"/>
        <v>0.81818181818181823</v>
      </c>
      <c r="U7" s="132">
        <f t="shared" si="3"/>
        <v>0.5</v>
      </c>
      <c r="V7" s="132">
        <f t="shared" si="4"/>
        <v>0.76923076923076927</v>
      </c>
      <c r="Z7" s="143" t="s">
        <v>467</v>
      </c>
      <c r="AA7" s="144">
        <f>SUM(AA5:AA6)</f>
        <v>7</v>
      </c>
      <c r="AB7" s="144">
        <f>SUM(AB5:AB6)</f>
        <v>6</v>
      </c>
      <c r="AC7" s="145">
        <f t="shared" si="5"/>
        <v>13</v>
      </c>
      <c r="AG7" s="177" t="s">
        <v>467</v>
      </c>
      <c r="AH7" s="178">
        <f>SUM(AH5:AH6)</f>
        <v>0</v>
      </c>
      <c r="AI7" s="178">
        <f>SUM(AI5:AI6)</f>
        <v>2</v>
      </c>
      <c r="AJ7" s="179">
        <f t="shared" si="6"/>
        <v>2</v>
      </c>
    </row>
    <row r="8" spans="1:36" ht="15.6" x14ac:dyDescent="0.3">
      <c r="A8" s="30" t="s">
        <v>289</v>
      </c>
      <c r="B8" s="31">
        <v>6</v>
      </c>
      <c r="D8" s="45" t="s">
        <v>325</v>
      </c>
      <c r="E8" s="46">
        <v>1</v>
      </c>
      <c r="G8" s="54" t="s">
        <v>361</v>
      </c>
      <c r="H8" s="55">
        <v>1</v>
      </c>
      <c r="J8" s="63" t="s">
        <v>397</v>
      </c>
      <c r="K8" s="64">
        <v>1</v>
      </c>
      <c r="M8" s="133"/>
      <c r="N8" s="134"/>
      <c r="O8" s="134"/>
      <c r="P8" s="134"/>
      <c r="Q8" s="134"/>
      <c r="R8" s="134"/>
      <c r="S8" s="134"/>
      <c r="T8" s="134"/>
      <c r="U8" s="134"/>
      <c r="V8" s="134"/>
      <c r="Z8" s="146"/>
      <c r="AA8" s="146"/>
      <c r="AB8" s="146"/>
      <c r="AC8" s="146"/>
      <c r="AG8" s="180"/>
      <c r="AH8" s="180"/>
      <c r="AI8" s="180"/>
      <c r="AJ8" s="180"/>
    </row>
    <row r="9" spans="1:36" ht="16.2" thickBot="1" x14ac:dyDescent="0.35">
      <c r="A9" s="30" t="s">
        <v>290</v>
      </c>
      <c r="B9" s="31">
        <v>1</v>
      </c>
      <c r="D9" s="45" t="s">
        <v>326</v>
      </c>
      <c r="E9" s="46">
        <v>0</v>
      </c>
      <c r="G9" s="54" t="s">
        <v>362</v>
      </c>
      <c r="H9" s="55">
        <v>0</v>
      </c>
      <c r="J9" s="63" t="s">
        <v>398</v>
      </c>
      <c r="K9" s="64">
        <v>0</v>
      </c>
      <c r="M9" s="40"/>
      <c r="N9" s="40"/>
      <c r="O9" s="40"/>
      <c r="P9" s="40"/>
      <c r="Q9" s="40"/>
      <c r="R9" s="40"/>
      <c r="S9" s="40"/>
      <c r="T9" s="40"/>
      <c r="U9" s="40"/>
      <c r="V9" s="40"/>
      <c r="Z9" s="146"/>
      <c r="AA9" s="146"/>
      <c r="AB9" s="146"/>
      <c r="AC9" s="146"/>
      <c r="AG9" s="180"/>
      <c r="AH9" s="180"/>
      <c r="AI9" s="180"/>
      <c r="AJ9" s="180"/>
    </row>
    <row r="10" spans="1:36" ht="16.2" thickBot="1" x14ac:dyDescent="0.35">
      <c r="A10" s="30" t="s">
        <v>291</v>
      </c>
      <c r="B10" s="31">
        <v>2</v>
      </c>
      <c r="D10" s="45" t="s">
        <v>327</v>
      </c>
      <c r="E10" s="46">
        <v>4</v>
      </c>
      <c r="G10" s="54" t="s">
        <v>363</v>
      </c>
      <c r="H10" s="55">
        <v>1</v>
      </c>
      <c r="J10" s="63" t="s">
        <v>399</v>
      </c>
      <c r="K10" s="64">
        <v>2</v>
      </c>
      <c r="M10" s="229" t="s">
        <v>477</v>
      </c>
      <c r="N10" s="230"/>
      <c r="O10" s="230"/>
      <c r="P10" s="230"/>
      <c r="Q10" s="230"/>
      <c r="R10" s="230"/>
      <c r="S10" s="230"/>
      <c r="T10" s="230"/>
      <c r="U10" s="230"/>
      <c r="V10" s="231"/>
      <c r="Z10" s="262" t="s">
        <v>492</v>
      </c>
      <c r="AA10" s="263"/>
      <c r="AB10" s="263"/>
      <c r="AC10" s="264"/>
      <c r="AG10" s="280" t="s">
        <v>508</v>
      </c>
      <c r="AH10" s="281"/>
      <c r="AI10" s="281"/>
      <c r="AJ10" s="282"/>
    </row>
    <row r="11" spans="1:36" ht="16.2" thickBot="1" x14ac:dyDescent="0.35">
      <c r="A11" s="30" t="s">
        <v>292</v>
      </c>
      <c r="B11" s="31">
        <v>4</v>
      </c>
      <c r="D11" s="45" t="s">
        <v>328</v>
      </c>
      <c r="E11" s="46">
        <v>3</v>
      </c>
      <c r="G11" s="54" t="s">
        <v>364</v>
      </c>
      <c r="H11" s="55">
        <v>0</v>
      </c>
      <c r="J11" s="63" t="s">
        <v>400</v>
      </c>
      <c r="K11" s="64">
        <v>0</v>
      </c>
      <c r="M11" s="79" t="s">
        <v>0</v>
      </c>
      <c r="N11" s="80" t="s">
        <v>11</v>
      </c>
      <c r="O11" s="80" t="s">
        <v>12</v>
      </c>
      <c r="P11" s="80" t="s">
        <v>13</v>
      </c>
      <c r="Q11" s="80" t="s">
        <v>14</v>
      </c>
      <c r="R11" s="80" t="s">
        <v>1</v>
      </c>
      <c r="S11" s="80" t="s">
        <v>2</v>
      </c>
      <c r="T11" s="80" t="s">
        <v>3</v>
      </c>
      <c r="U11" s="80" t="s">
        <v>4</v>
      </c>
      <c r="V11" s="80" t="s">
        <v>5</v>
      </c>
      <c r="Z11" s="135"/>
      <c r="AA11" s="31" t="s">
        <v>468</v>
      </c>
      <c r="AB11" s="31" t="s">
        <v>469</v>
      </c>
      <c r="AC11" s="141" t="s">
        <v>467</v>
      </c>
      <c r="AG11" s="135"/>
      <c r="AH11" s="55" t="s">
        <v>468</v>
      </c>
      <c r="AI11" s="55" t="s">
        <v>469</v>
      </c>
      <c r="AJ11" s="175" t="s">
        <v>467</v>
      </c>
    </row>
    <row r="12" spans="1:36" ht="16.2" thickBot="1" x14ac:dyDescent="0.35">
      <c r="A12" s="32"/>
      <c r="B12" s="32"/>
      <c r="D12" s="47"/>
      <c r="E12" s="47"/>
      <c r="G12" s="56"/>
      <c r="H12" s="56"/>
      <c r="J12" s="10"/>
      <c r="K12" s="10"/>
      <c r="M12" s="81" t="s">
        <v>233</v>
      </c>
      <c r="N12" s="82">
        <v>7</v>
      </c>
      <c r="O12" s="82">
        <v>1</v>
      </c>
      <c r="P12" s="82">
        <v>1</v>
      </c>
      <c r="Q12" s="82">
        <v>2</v>
      </c>
      <c r="R12" s="83">
        <f>N12/(N12+Q12)</f>
        <v>0.77777777777777779</v>
      </c>
      <c r="S12" s="83">
        <f>O12/(O12+P12)</f>
        <v>0.5</v>
      </c>
      <c r="T12" s="83">
        <f>N12/(N12+P12)</f>
        <v>0.875</v>
      </c>
      <c r="U12" s="83">
        <f>O12/(O12+Q12)</f>
        <v>0.33333333333333331</v>
      </c>
      <c r="V12" s="83">
        <f>(N12+O12)/(N12+O12+P12+Q12)</f>
        <v>0.72727272727272729</v>
      </c>
      <c r="Z12" s="142" t="s">
        <v>465</v>
      </c>
      <c r="AA12" s="31">
        <v>6</v>
      </c>
      <c r="AB12" s="31">
        <v>4</v>
      </c>
      <c r="AC12" s="141">
        <f>SUM(AA12:AB12)</f>
        <v>10</v>
      </c>
      <c r="AG12" s="176" t="s">
        <v>465</v>
      </c>
      <c r="AH12" s="55">
        <v>1</v>
      </c>
      <c r="AI12" s="55">
        <v>0</v>
      </c>
      <c r="AJ12" s="175">
        <f>SUM(AH12:AI12)</f>
        <v>1</v>
      </c>
    </row>
    <row r="13" spans="1:36" ht="16.2" thickBot="1" x14ac:dyDescent="0.35">
      <c r="A13" s="30" t="s">
        <v>293</v>
      </c>
      <c r="B13" s="31">
        <v>9</v>
      </c>
      <c r="D13" s="45" t="s">
        <v>329</v>
      </c>
      <c r="E13" s="46">
        <v>3</v>
      </c>
      <c r="G13" s="54" t="s">
        <v>365</v>
      </c>
      <c r="H13" s="55">
        <v>0</v>
      </c>
      <c r="J13" s="63" t="s">
        <v>401</v>
      </c>
      <c r="K13" s="64">
        <v>1</v>
      </c>
      <c r="M13" s="81" t="s">
        <v>8</v>
      </c>
      <c r="N13" s="82">
        <v>8</v>
      </c>
      <c r="O13" s="82">
        <v>0</v>
      </c>
      <c r="P13" s="82">
        <v>2</v>
      </c>
      <c r="Q13" s="82">
        <v>1</v>
      </c>
      <c r="R13" s="83">
        <f t="shared" ref="R13:R14" si="7">N13/(N13+Q13)</f>
        <v>0.88888888888888884</v>
      </c>
      <c r="S13" s="83">
        <f t="shared" ref="S13:S14" si="8">O13/(O13+P13)</f>
        <v>0</v>
      </c>
      <c r="T13" s="83">
        <f t="shared" ref="T13:T14" si="9">N13/(N13+P13)</f>
        <v>0.8</v>
      </c>
      <c r="U13" s="83">
        <f t="shared" ref="U13:U14" si="10">O13/(O13+Q13)</f>
        <v>0</v>
      </c>
      <c r="V13" s="83">
        <f t="shared" ref="V13:V14" si="11">(N13+O13)/(N13+O13+P13+Q13)</f>
        <v>0.72727272727272729</v>
      </c>
      <c r="Z13" s="142" t="s">
        <v>466</v>
      </c>
      <c r="AA13" s="31">
        <v>2</v>
      </c>
      <c r="AB13" s="31">
        <v>1</v>
      </c>
      <c r="AC13" s="141">
        <f t="shared" ref="AC13" si="12">SUM(AA13:AB13)</f>
        <v>3</v>
      </c>
      <c r="AG13" s="176" t="s">
        <v>466</v>
      </c>
      <c r="AH13" s="55">
        <v>1</v>
      </c>
      <c r="AI13" s="55">
        <v>0</v>
      </c>
      <c r="AJ13" s="175">
        <f t="shared" ref="AJ13" si="13">SUM(AH13:AI13)</f>
        <v>1</v>
      </c>
    </row>
    <row r="14" spans="1:36" ht="16.2" thickBot="1" x14ac:dyDescent="0.35">
      <c r="A14" s="30" t="s">
        <v>294</v>
      </c>
      <c r="B14" s="31">
        <v>1</v>
      </c>
      <c r="D14" s="45" t="s">
        <v>330</v>
      </c>
      <c r="E14" s="46">
        <v>2</v>
      </c>
      <c r="G14" s="54" t="s">
        <v>366</v>
      </c>
      <c r="H14" s="55">
        <v>1</v>
      </c>
      <c r="J14" s="63" t="s">
        <v>402</v>
      </c>
      <c r="K14" s="64">
        <v>1</v>
      </c>
      <c r="M14" s="81" t="s">
        <v>280</v>
      </c>
      <c r="N14" s="82">
        <v>9</v>
      </c>
      <c r="O14" s="82">
        <v>0</v>
      </c>
      <c r="P14" s="82">
        <v>2</v>
      </c>
      <c r="Q14" s="82">
        <v>0</v>
      </c>
      <c r="R14" s="83">
        <f t="shared" si="7"/>
        <v>1</v>
      </c>
      <c r="S14" s="83">
        <f t="shared" si="8"/>
        <v>0</v>
      </c>
      <c r="T14" s="83">
        <f t="shared" si="9"/>
        <v>0.81818181818181823</v>
      </c>
      <c r="U14" s="83" t="e">
        <f t="shared" si="10"/>
        <v>#DIV/0!</v>
      </c>
      <c r="V14" s="83">
        <f t="shared" si="11"/>
        <v>0.81818181818181823</v>
      </c>
      <c r="Z14" s="143" t="s">
        <v>467</v>
      </c>
      <c r="AA14" s="144">
        <f>SUM(AA12:AA13)</f>
        <v>8</v>
      </c>
      <c r="AB14" s="144">
        <f t="shared" ref="AB14:AC14" si="14">SUM(AB12:AB13)</f>
        <v>5</v>
      </c>
      <c r="AC14" s="145">
        <f t="shared" si="14"/>
        <v>13</v>
      </c>
      <c r="AG14" s="177" t="s">
        <v>467</v>
      </c>
      <c r="AH14" s="178">
        <f>SUM(AH12:AH13)</f>
        <v>2</v>
      </c>
      <c r="AI14" s="178">
        <f t="shared" ref="AI14:AJ14" si="15">SUM(AI12:AI13)</f>
        <v>0</v>
      </c>
      <c r="AJ14" s="179">
        <f t="shared" si="15"/>
        <v>2</v>
      </c>
    </row>
    <row r="15" spans="1:36" ht="15.6" x14ac:dyDescent="0.3">
      <c r="A15" s="30" t="s">
        <v>295</v>
      </c>
      <c r="B15" s="31">
        <v>2</v>
      </c>
      <c r="D15" s="45" t="s">
        <v>331</v>
      </c>
      <c r="E15" s="46">
        <v>2</v>
      </c>
      <c r="G15" s="54" t="s">
        <v>367</v>
      </c>
      <c r="H15" s="55">
        <v>0</v>
      </c>
      <c r="J15" s="63" t="s">
        <v>403</v>
      </c>
      <c r="K15" s="64">
        <v>1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Z15" s="146"/>
      <c r="AA15" s="146"/>
      <c r="AB15" s="146"/>
      <c r="AC15" s="146"/>
      <c r="AG15" s="180"/>
      <c r="AH15" s="180"/>
      <c r="AI15" s="180"/>
      <c r="AJ15" s="180"/>
    </row>
    <row r="16" spans="1:36" ht="16.2" thickBot="1" x14ac:dyDescent="0.35">
      <c r="A16" s="30" t="s">
        <v>296</v>
      </c>
      <c r="B16" s="31">
        <v>1</v>
      </c>
      <c r="D16" s="45" t="s">
        <v>332</v>
      </c>
      <c r="E16" s="46">
        <v>1</v>
      </c>
      <c r="G16" s="54" t="s">
        <v>368</v>
      </c>
      <c r="H16" s="55">
        <v>1</v>
      </c>
      <c r="J16" s="63" t="s">
        <v>404</v>
      </c>
      <c r="K16" s="64">
        <v>0</v>
      </c>
      <c r="M16" s="129"/>
      <c r="N16" s="41"/>
      <c r="O16" s="41"/>
      <c r="P16" s="41"/>
      <c r="Q16" s="41"/>
      <c r="R16" s="42"/>
      <c r="S16" s="42"/>
      <c r="T16" s="42"/>
      <c r="U16" s="42"/>
      <c r="V16" s="42"/>
      <c r="Z16" s="146"/>
      <c r="AA16" s="146"/>
      <c r="AB16" s="146"/>
      <c r="AC16" s="146"/>
      <c r="AG16" s="180"/>
      <c r="AH16" s="180"/>
      <c r="AI16" s="180"/>
      <c r="AJ16" s="180"/>
    </row>
    <row r="17" spans="1:36" ht="16.2" thickBot="1" x14ac:dyDescent="0.35">
      <c r="M17" s="232" t="s">
        <v>478</v>
      </c>
      <c r="N17" s="233"/>
      <c r="O17" s="233"/>
      <c r="P17" s="233"/>
      <c r="Q17" s="233"/>
      <c r="R17" s="233"/>
      <c r="S17" s="233"/>
      <c r="T17" s="233"/>
      <c r="U17" s="233"/>
      <c r="V17" s="234"/>
      <c r="Z17" s="262" t="s">
        <v>493</v>
      </c>
      <c r="AA17" s="263"/>
      <c r="AB17" s="263"/>
      <c r="AC17" s="264"/>
      <c r="AG17" s="280" t="s">
        <v>509</v>
      </c>
      <c r="AH17" s="281"/>
      <c r="AI17" s="281"/>
      <c r="AJ17" s="282"/>
    </row>
    <row r="18" spans="1:36" ht="16.2" thickBot="1" x14ac:dyDescent="0.35">
      <c r="M18" s="35" t="s">
        <v>0</v>
      </c>
      <c r="N18" s="36" t="s">
        <v>11</v>
      </c>
      <c r="O18" s="36" t="s">
        <v>12</v>
      </c>
      <c r="P18" s="36" t="s">
        <v>13</v>
      </c>
      <c r="Q18" s="36" t="s">
        <v>14</v>
      </c>
      <c r="R18" s="36" t="s">
        <v>1</v>
      </c>
      <c r="S18" s="36" t="s">
        <v>2</v>
      </c>
      <c r="T18" s="36" t="s">
        <v>3</v>
      </c>
      <c r="U18" s="36" t="s">
        <v>4</v>
      </c>
      <c r="V18" s="36" t="s">
        <v>5</v>
      </c>
      <c r="Z18" s="135"/>
      <c r="AA18" s="31" t="s">
        <v>468</v>
      </c>
      <c r="AB18" s="31" t="s">
        <v>469</v>
      </c>
      <c r="AC18" s="141" t="s">
        <v>467</v>
      </c>
      <c r="AG18" s="135"/>
      <c r="AH18" s="55" t="s">
        <v>468</v>
      </c>
      <c r="AI18" s="55" t="s">
        <v>469</v>
      </c>
      <c r="AJ18" s="175" t="s">
        <v>467</v>
      </c>
    </row>
    <row r="19" spans="1:36" ht="16.2" thickBot="1" x14ac:dyDescent="0.35">
      <c r="A19" s="33" t="s">
        <v>297</v>
      </c>
      <c r="B19" s="34">
        <v>7</v>
      </c>
      <c r="D19" s="48" t="s">
        <v>333</v>
      </c>
      <c r="E19" s="49">
        <v>0</v>
      </c>
      <c r="G19" s="60" t="s">
        <v>369</v>
      </c>
      <c r="H19" s="61">
        <v>0</v>
      </c>
      <c r="J19" s="65" t="s">
        <v>405</v>
      </c>
      <c r="K19" s="66">
        <v>0</v>
      </c>
      <c r="M19" s="37" t="s">
        <v>233</v>
      </c>
      <c r="N19" s="38">
        <v>2</v>
      </c>
      <c r="O19" s="38">
        <v>0</v>
      </c>
      <c r="P19" s="38">
        <v>0</v>
      </c>
      <c r="Q19" s="38">
        <v>0</v>
      </c>
      <c r="R19" s="39">
        <f>N19/(N19+Q19)</f>
        <v>1</v>
      </c>
      <c r="S19" s="39" t="e">
        <f>O19/(O19+P19)</f>
        <v>#DIV/0!</v>
      </c>
      <c r="T19" s="39">
        <f>N19/(N19+P19)</f>
        <v>1</v>
      </c>
      <c r="U19" s="39" t="e">
        <f>O19/(O19+Q19)</f>
        <v>#DIV/0!</v>
      </c>
      <c r="V19" s="39">
        <f>(N19+O19)/(N19+O19+P19+Q19)</f>
        <v>1</v>
      </c>
      <c r="Z19" s="142" t="s">
        <v>465</v>
      </c>
      <c r="AA19" s="31">
        <v>9</v>
      </c>
      <c r="AB19" s="31">
        <v>1</v>
      </c>
      <c r="AC19" s="141">
        <f>SUM(AA19:AB19)</f>
        <v>10</v>
      </c>
      <c r="AG19" s="176" t="s">
        <v>465</v>
      </c>
      <c r="AH19" s="55">
        <v>0</v>
      </c>
      <c r="AI19" s="55">
        <v>1</v>
      </c>
      <c r="AJ19" s="175">
        <f>SUM(AH19:AI19)</f>
        <v>1</v>
      </c>
    </row>
    <row r="20" spans="1:36" ht="16.2" thickBot="1" x14ac:dyDescent="0.35">
      <c r="A20" s="33" t="s">
        <v>298</v>
      </c>
      <c r="B20" s="34">
        <v>1</v>
      </c>
      <c r="D20" s="48" t="s">
        <v>334</v>
      </c>
      <c r="E20" s="49">
        <v>2</v>
      </c>
      <c r="G20" s="60" t="s">
        <v>370</v>
      </c>
      <c r="H20" s="61">
        <v>0</v>
      </c>
      <c r="J20" s="65" t="s">
        <v>406</v>
      </c>
      <c r="K20" s="66">
        <v>0</v>
      </c>
      <c r="M20" s="37" t="s">
        <v>8</v>
      </c>
      <c r="N20" s="38">
        <v>2</v>
      </c>
      <c r="O20" s="38">
        <v>0</v>
      </c>
      <c r="P20" s="38">
        <v>0</v>
      </c>
      <c r="Q20" s="38">
        <v>0</v>
      </c>
      <c r="R20" s="39">
        <f t="shared" ref="R20:R21" si="16">N20/(N20+Q20)</f>
        <v>1</v>
      </c>
      <c r="S20" s="39" t="e">
        <f t="shared" ref="S20:S21" si="17">O20/(O20+P20)</f>
        <v>#DIV/0!</v>
      </c>
      <c r="T20" s="39">
        <f t="shared" ref="T20:T21" si="18">N20/(N20+P20)</f>
        <v>1</v>
      </c>
      <c r="U20" s="39" t="e">
        <f t="shared" ref="U20:U21" si="19">O20/(O20+Q20)</f>
        <v>#DIV/0!</v>
      </c>
      <c r="V20" s="39">
        <f t="shared" ref="V20:V21" si="20">(N20+O20)/(N20+O20+P20+Q20)</f>
        <v>1</v>
      </c>
      <c r="Z20" s="142" t="s">
        <v>466</v>
      </c>
      <c r="AA20" s="31">
        <v>2</v>
      </c>
      <c r="AB20" s="31">
        <v>1</v>
      </c>
      <c r="AC20" s="141">
        <f t="shared" ref="AC20:AC21" si="21">SUM(AA20:AB20)</f>
        <v>3</v>
      </c>
      <c r="AG20" s="176" t="s">
        <v>466</v>
      </c>
      <c r="AH20" s="55">
        <v>0</v>
      </c>
      <c r="AI20" s="55">
        <v>1</v>
      </c>
      <c r="AJ20" s="175">
        <f t="shared" ref="AJ20:AJ21" si="22">SUM(AH20:AI20)</f>
        <v>1</v>
      </c>
    </row>
    <row r="21" spans="1:36" ht="16.2" thickBot="1" x14ac:dyDescent="0.35">
      <c r="A21" s="33" t="s">
        <v>299</v>
      </c>
      <c r="B21" s="34">
        <v>1</v>
      </c>
      <c r="D21" s="48" t="s">
        <v>335</v>
      </c>
      <c r="E21" s="49">
        <v>0</v>
      </c>
      <c r="G21" s="60" t="s">
        <v>371</v>
      </c>
      <c r="H21" s="61">
        <v>1</v>
      </c>
      <c r="J21" s="65" t="s">
        <v>407</v>
      </c>
      <c r="K21" s="66">
        <v>0</v>
      </c>
      <c r="M21" s="37" t="s">
        <v>280</v>
      </c>
      <c r="N21" s="38">
        <v>2</v>
      </c>
      <c r="O21" s="38">
        <v>0</v>
      </c>
      <c r="P21" s="38">
        <v>0</v>
      </c>
      <c r="Q21" s="38">
        <v>0</v>
      </c>
      <c r="R21" s="39">
        <f t="shared" si="16"/>
        <v>1</v>
      </c>
      <c r="S21" s="39" t="e">
        <f t="shared" si="17"/>
        <v>#DIV/0!</v>
      </c>
      <c r="T21" s="39">
        <f t="shared" si="18"/>
        <v>1</v>
      </c>
      <c r="U21" s="39" t="e">
        <f t="shared" si="19"/>
        <v>#DIV/0!</v>
      </c>
      <c r="V21" s="39">
        <f t="shared" si="20"/>
        <v>1</v>
      </c>
      <c r="Z21" s="143" t="s">
        <v>467</v>
      </c>
      <c r="AA21" s="144">
        <f>SUM(AA19:AA20)</f>
        <v>11</v>
      </c>
      <c r="AB21" s="144">
        <f t="shared" ref="AB21" si="23">SUM(AB19:AB20)</f>
        <v>2</v>
      </c>
      <c r="AC21" s="145">
        <f t="shared" si="21"/>
        <v>13</v>
      </c>
      <c r="AG21" s="177" t="s">
        <v>467</v>
      </c>
      <c r="AH21" s="178">
        <f>SUM(AH19:AH20)</f>
        <v>0</v>
      </c>
      <c r="AI21" s="178">
        <f t="shared" ref="AI21" si="24">SUM(AI19:AI20)</f>
        <v>2</v>
      </c>
      <c r="AJ21" s="179">
        <f t="shared" si="22"/>
        <v>2</v>
      </c>
    </row>
    <row r="22" spans="1:36" ht="15.6" x14ac:dyDescent="0.3">
      <c r="A22" s="33" t="s">
        <v>300</v>
      </c>
      <c r="B22" s="34">
        <v>2</v>
      </c>
      <c r="D22" s="48" t="s">
        <v>336</v>
      </c>
      <c r="E22" s="49">
        <v>0</v>
      </c>
      <c r="G22" s="60" t="s">
        <v>372</v>
      </c>
      <c r="H22" s="61">
        <v>0</v>
      </c>
      <c r="J22" s="65" t="s">
        <v>408</v>
      </c>
      <c r="K22" s="66">
        <v>1</v>
      </c>
      <c r="M22" s="133"/>
      <c r="N22" s="134"/>
      <c r="O22" s="134"/>
      <c r="P22" s="134"/>
      <c r="Q22" s="134"/>
      <c r="R22" s="134"/>
      <c r="S22" s="134"/>
      <c r="T22" s="134"/>
      <c r="U22" s="134"/>
      <c r="V22" s="134"/>
    </row>
    <row r="23" spans="1:36" ht="16.2" thickBot="1" x14ac:dyDescent="0.35">
      <c r="A23" s="13"/>
      <c r="B23" s="13"/>
      <c r="D23" s="50"/>
      <c r="E23" s="50"/>
      <c r="G23" s="62"/>
      <c r="H23" s="62"/>
      <c r="J23" s="67"/>
      <c r="K23" s="67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36" ht="16.2" thickBot="1" x14ac:dyDescent="0.35">
      <c r="A24" s="33" t="s">
        <v>301</v>
      </c>
      <c r="B24" s="34">
        <v>8</v>
      </c>
      <c r="D24" s="48" t="s">
        <v>337</v>
      </c>
      <c r="E24" s="49">
        <v>0</v>
      </c>
      <c r="G24" s="60" t="s">
        <v>373</v>
      </c>
      <c r="H24" s="61">
        <v>0</v>
      </c>
      <c r="J24" s="65" t="s">
        <v>409</v>
      </c>
      <c r="K24" s="66">
        <v>0</v>
      </c>
      <c r="M24" s="235" t="s">
        <v>479</v>
      </c>
      <c r="N24" s="236"/>
      <c r="O24" s="236"/>
      <c r="P24" s="236"/>
      <c r="Q24" s="236"/>
      <c r="R24" s="236"/>
      <c r="S24" s="236"/>
      <c r="T24" s="236"/>
      <c r="U24" s="236"/>
      <c r="V24" s="237"/>
      <c r="Z24" s="265" t="s">
        <v>494</v>
      </c>
      <c r="AA24" s="266"/>
      <c r="AB24" s="266"/>
      <c r="AC24" s="267"/>
      <c r="AG24" s="283" t="s">
        <v>510</v>
      </c>
      <c r="AH24" s="284"/>
      <c r="AI24" s="284"/>
      <c r="AJ24" s="285"/>
    </row>
    <row r="25" spans="1:36" ht="16.2" thickBot="1" x14ac:dyDescent="0.35">
      <c r="A25" s="33" t="s">
        <v>302</v>
      </c>
      <c r="B25" s="34">
        <v>0</v>
      </c>
      <c r="D25" s="48" t="s">
        <v>338</v>
      </c>
      <c r="E25" s="49">
        <v>2</v>
      </c>
      <c r="G25" s="60" t="s">
        <v>374</v>
      </c>
      <c r="H25" s="61">
        <v>0</v>
      </c>
      <c r="J25" s="65" t="s">
        <v>410</v>
      </c>
      <c r="K25" s="66">
        <v>0</v>
      </c>
      <c r="M25" s="84" t="s">
        <v>0</v>
      </c>
      <c r="N25" s="85" t="s">
        <v>11</v>
      </c>
      <c r="O25" s="85" t="s">
        <v>12</v>
      </c>
      <c r="P25" s="85" t="s">
        <v>13</v>
      </c>
      <c r="Q25" s="85" t="s">
        <v>14</v>
      </c>
      <c r="R25" s="85" t="s">
        <v>1</v>
      </c>
      <c r="S25" s="85" t="s">
        <v>2</v>
      </c>
      <c r="T25" s="85" t="s">
        <v>3</v>
      </c>
      <c r="U25" s="85" t="s">
        <v>4</v>
      </c>
      <c r="V25" s="85" t="s">
        <v>5</v>
      </c>
      <c r="Z25" s="135"/>
      <c r="AA25" s="34" t="s">
        <v>468</v>
      </c>
      <c r="AB25" s="34" t="s">
        <v>469</v>
      </c>
      <c r="AC25" s="147" t="s">
        <v>467</v>
      </c>
      <c r="AG25" s="135"/>
      <c r="AH25" s="61" t="s">
        <v>468</v>
      </c>
      <c r="AI25" s="61" t="s">
        <v>469</v>
      </c>
      <c r="AJ25" s="181" t="s">
        <v>467</v>
      </c>
    </row>
    <row r="26" spans="1:36" ht="16.2" thickBot="1" x14ac:dyDescent="0.35">
      <c r="A26" s="33" t="s">
        <v>303</v>
      </c>
      <c r="B26" s="34">
        <v>2</v>
      </c>
      <c r="D26" s="48" t="s">
        <v>339</v>
      </c>
      <c r="E26" s="49">
        <v>0</v>
      </c>
      <c r="G26" s="60" t="s">
        <v>375</v>
      </c>
      <c r="H26" s="61">
        <v>1</v>
      </c>
      <c r="J26" s="65" t="s">
        <v>411</v>
      </c>
      <c r="K26" s="66">
        <v>0</v>
      </c>
      <c r="M26" s="86" t="s">
        <v>233</v>
      </c>
      <c r="N26" s="87">
        <v>3</v>
      </c>
      <c r="O26" s="87">
        <v>3</v>
      </c>
      <c r="P26" s="87">
        <v>1</v>
      </c>
      <c r="Q26" s="87">
        <v>1</v>
      </c>
      <c r="R26" s="88">
        <f>N26/(N26+Q26)</f>
        <v>0.75</v>
      </c>
      <c r="S26" s="88">
        <f>O26/(O26+P26)</f>
        <v>0.75</v>
      </c>
      <c r="T26" s="88">
        <f>N26/(N26+P26)</f>
        <v>0.75</v>
      </c>
      <c r="U26" s="88">
        <f>O26/(O26+Q26)</f>
        <v>0.75</v>
      </c>
      <c r="V26" s="88">
        <f>(N26+O26)/(N26+O26+P26+Q26)</f>
        <v>0.75</v>
      </c>
      <c r="Z26" s="148" t="s">
        <v>465</v>
      </c>
      <c r="AA26" s="34">
        <v>7</v>
      </c>
      <c r="AB26" s="34">
        <v>2</v>
      </c>
      <c r="AC26" s="147">
        <f>SUM(AA26:AB26)</f>
        <v>9</v>
      </c>
      <c r="AG26" s="182" t="s">
        <v>465</v>
      </c>
      <c r="AH26" s="61">
        <v>0</v>
      </c>
      <c r="AI26" s="61">
        <v>0</v>
      </c>
      <c r="AJ26" s="181">
        <f>SUM(AH26:AI26)</f>
        <v>0</v>
      </c>
    </row>
    <row r="27" spans="1:36" ht="16.2" thickBot="1" x14ac:dyDescent="0.35">
      <c r="A27" s="33" t="s">
        <v>304</v>
      </c>
      <c r="B27" s="34">
        <v>1</v>
      </c>
      <c r="D27" s="48" t="s">
        <v>340</v>
      </c>
      <c r="E27" s="49">
        <v>0</v>
      </c>
      <c r="G27" s="60" t="s">
        <v>376</v>
      </c>
      <c r="H27" s="61">
        <v>0</v>
      </c>
      <c r="J27" s="65" t="s">
        <v>412</v>
      </c>
      <c r="K27" s="66">
        <v>1</v>
      </c>
      <c r="M27" s="86" t="s">
        <v>8</v>
      </c>
      <c r="N27" s="87">
        <v>1</v>
      </c>
      <c r="O27" s="87">
        <v>0</v>
      </c>
      <c r="P27" s="87">
        <v>4</v>
      </c>
      <c r="Q27" s="87">
        <v>3</v>
      </c>
      <c r="R27" s="88">
        <f t="shared" ref="R27:R28" si="25">N27/(N27+Q27)</f>
        <v>0.25</v>
      </c>
      <c r="S27" s="88">
        <f t="shared" ref="S27:S28" si="26">O27/(O27+P27)</f>
        <v>0</v>
      </c>
      <c r="T27" s="88">
        <f t="shared" ref="T27:T28" si="27">N27/(N27+P27)</f>
        <v>0.2</v>
      </c>
      <c r="U27" s="88">
        <f t="shared" ref="U27:U28" si="28">O27/(O27+Q27)</f>
        <v>0</v>
      </c>
      <c r="V27" s="88">
        <f t="shared" ref="V27:V28" si="29">(N27+O27)/(N27+O27+P27+Q27)</f>
        <v>0.125</v>
      </c>
      <c r="Z27" s="148" t="s">
        <v>466</v>
      </c>
      <c r="AA27" s="34">
        <v>1</v>
      </c>
      <c r="AB27" s="34">
        <v>1</v>
      </c>
      <c r="AC27" s="147">
        <f t="shared" ref="AC27:AC28" si="30">SUM(AA27:AB27)</f>
        <v>2</v>
      </c>
      <c r="AG27" s="182" t="s">
        <v>466</v>
      </c>
      <c r="AH27" s="61">
        <v>1</v>
      </c>
      <c r="AI27" s="61">
        <v>0</v>
      </c>
      <c r="AJ27" s="181">
        <f t="shared" ref="AJ27:AJ28" si="31">SUM(AH27:AI27)</f>
        <v>1</v>
      </c>
    </row>
    <row r="28" spans="1:36" ht="16.2" thickBot="1" x14ac:dyDescent="0.35">
      <c r="A28" s="13"/>
      <c r="B28" s="13"/>
      <c r="D28" s="50"/>
      <c r="E28" s="50"/>
      <c r="G28" s="62"/>
      <c r="H28" s="62"/>
      <c r="J28" s="67"/>
      <c r="K28" s="67"/>
      <c r="M28" s="86" t="s">
        <v>280</v>
      </c>
      <c r="N28" s="87">
        <v>3</v>
      </c>
      <c r="O28" s="87">
        <v>2</v>
      </c>
      <c r="P28" s="87">
        <v>2</v>
      </c>
      <c r="Q28" s="87">
        <v>1</v>
      </c>
      <c r="R28" s="88">
        <f t="shared" si="25"/>
        <v>0.75</v>
      </c>
      <c r="S28" s="88">
        <f t="shared" si="26"/>
        <v>0.5</v>
      </c>
      <c r="T28" s="88">
        <f t="shared" si="27"/>
        <v>0.6</v>
      </c>
      <c r="U28" s="88">
        <f t="shared" si="28"/>
        <v>0.66666666666666663</v>
      </c>
      <c r="V28" s="88">
        <f t="shared" si="29"/>
        <v>0.625</v>
      </c>
      <c r="Z28" s="149" t="s">
        <v>467</v>
      </c>
      <c r="AA28" s="150">
        <f>SUM(AA26:AA27)</f>
        <v>8</v>
      </c>
      <c r="AB28" s="150">
        <f>SUM(AB26:AB27)</f>
        <v>3</v>
      </c>
      <c r="AC28" s="151">
        <f t="shared" si="30"/>
        <v>11</v>
      </c>
      <c r="AG28" s="183" t="s">
        <v>467</v>
      </c>
      <c r="AH28" s="184">
        <f>SUM(AH26:AH27)</f>
        <v>1</v>
      </c>
      <c r="AI28" s="184">
        <f>SUM(AI26:AI27)</f>
        <v>0</v>
      </c>
      <c r="AJ28" s="185">
        <f t="shared" si="31"/>
        <v>1</v>
      </c>
    </row>
    <row r="29" spans="1:36" ht="15.6" x14ac:dyDescent="0.3">
      <c r="A29" s="33" t="s">
        <v>305</v>
      </c>
      <c r="B29" s="34">
        <v>9</v>
      </c>
      <c r="D29" s="48" t="s">
        <v>341</v>
      </c>
      <c r="E29" s="49">
        <v>0</v>
      </c>
      <c r="G29" s="60" t="s">
        <v>377</v>
      </c>
      <c r="H29" s="61">
        <v>0</v>
      </c>
      <c r="J29" s="65" t="s">
        <v>413</v>
      </c>
      <c r="K29" s="66">
        <v>1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Z29" s="15"/>
      <c r="AA29" s="15"/>
      <c r="AB29" s="15"/>
      <c r="AC29" s="15"/>
      <c r="AG29" s="186"/>
      <c r="AH29" s="186"/>
      <c r="AI29" s="186"/>
      <c r="AJ29" s="186"/>
    </row>
    <row r="30" spans="1:36" ht="16.2" thickBot="1" x14ac:dyDescent="0.35">
      <c r="A30" s="33" t="s">
        <v>306</v>
      </c>
      <c r="B30" s="34">
        <v>0</v>
      </c>
      <c r="D30" s="48" t="s">
        <v>342</v>
      </c>
      <c r="E30" s="49">
        <v>1</v>
      </c>
      <c r="G30" s="60" t="s">
        <v>378</v>
      </c>
      <c r="H30" s="61">
        <v>1</v>
      </c>
      <c r="J30" s="65" t="s">
        <v>414</v>
      </c>
      <c r="K30" s="66">
        <v>0</v>
      </c>
      <c r="M30" s="129"/>
      <c r="N30" s="41"/>
      <c r="O30" s="41"/>
      <c r="P30" s="41"/>
      <c r="Q30" s="41"/>
      <c r="R30" s="42"/>
      <c r="S30" s="42"/>
      <c r="T30" s="42"/>
      <c r="U30" s="42"/>
      <c r="V30" s="42"/>
      <c r="Z30" s="15"/>
      <c r="AA30" s="15"/>
      <c r="AB30" s="15"/>
      <c r="AC30" s="15"/>
      <c r="AG30" s="186"/>
      <c r="AH30" s="186"/>
      <c r="AI30" s="186"/>
      <c r="AJ30" s="186"/>
    </row>
    <row r="31" spans="1:36" ht="16.2" thickBot="1" x14ac:dyDescent="0.35">
      <c r="A31" s="33" t="s">
        <v>307</v>
      </c>
      <c r="B31" s="34">
        <v>2</v>
      </c>
      <c r="D31" s="48" t="s">
        <v>343</v>
      </c>
      <c r="E31" s="49">
        <v>1</v>
      </c>
      <c r="G31" s="60" t="s">
        <v>379</v>
      </c>
      <c r="H31" s="61">
        <v>0</v>
      </c>
      <c r="J31" s="65" t="s">
        <v>415</v>
      </c>
      <c r="K31" s="66">
        <v>0</v>
      </c>
      <c r="M31" s="241" t="s">
        <v>480</v>
      </c>
      <c r="N31" s="242"/>
      <c r="O31" s="242"/>
      <c r="P31" s="242"/>
      <c r="Q31" s="242"/>
      <c r="R31" s="242"/>
      <c r="S31" s="242"/>
      <c r="T31" s="242"/>
      <c r="U31" s="242"/>
      <c r="V31" s="243"/>
      <c r="Z31" s="265" t="s">
        <v>495</v>
      </c>
      <c r="AA31" s="266"/>
      <c r="AB31" s="266"/>
      <c r="AC31" s="267"/>
      <c r="AG31" s="283" t="s">
        <v>511</v>
      </c>
      <c r="AH31" s="284"/>
      <c r="AI31" s="284"/>
      <c r="AJ31" s="285"/>
    </row>
    <row r="32" spans="1:36" ht="16.2" thickBot="1" x14ac:dyDescent="0.35">
      <c r="A32" s="33" t="s">
        <v>308</v>
      </c>
      <c r="B32" s="34">
        <v>0</v>
      </c>
      <c r="D32" s="48" t="s">
        <v>344</v>
      </c>
      <c r="E32" s="49">
        <v>0</v>
      </c>
      <c r="G32" s="60" t="s">
        <v>380</v>
      </c>
      <c r="H32" s="61">
        <v>0</v>
      </c>
      <c r="J32" s="65" t="s">
        <v>416</v>
      </c>
      <c r="K32" s="66">
        <v>0</v>
      </c>
      <c r="M32" s="94" t="s">
        <v>0</v>
      </c>
      <c r="N32" s="95" t="s">
        <v>11</v>
      </c>
      <c r="O32" s="95" t="s">
        <v>12</v>
      </c>
      <c r="P32" s="95" t="s">
        <v>13</v>
      </c>
      <c r="Q32" s="95" t="s">
        <v>14</v>
      </c>
      <c r="R32" s="95" t="s">
        <v>1</v>
      </c>
      <c r="S32" s="95" t="s">
        <v>2</v>
      </c>
      <c r="T32" s="95" t="s">
        <v>3</v>
      </c>
      <c r="U32" s="95" t="s">
        <v>4</v>
      </c>
      <c r="V32" s="95" t="s">
        <v>5</v>
      </c>
      <c r="Z32" s="135"/>
      <c r="AA32" s="34" t="s">
        <v>468</v>
      </c>
      <c r="AB32" s="34" t="s">
        <v>469</v>
      </c>
      <c r="AC32" s="147" t="s">
        <v>467</v>
      </c>
      <c r="AG32" s="135"/>
      <c r="AH32" s="61" t="s">
        <v>468</v>
      </c>
      <c r="AI32" s="61" t="s">
        <v>469</v>
      </c>
      <c r="AJ32" s="181" t="s">
        <v>467</v>
      </c>
    </row>
    <row r="33" spans="1:36" ht="16.2" thickBot="1" x14ac:dyDescent="0.35">
      <c r="M33" s="96" t="s">
        <v>233</v>
      </c>
      <c r="N33" s="97">
        <v>0</v>
      </c>
      <c r="O33" s="97">
        <v>2</v>
      </c>
      <c r="P33" s="97">
        <v>0</v>
      </c>
      <c r="Q33" s="97">
        <v>0</v>
      </c>
      <c r="R33" s="98" t="e">
        <f>N33/(N33+Q33)</f>
        <v>#DIV/0!</v>
      </c>
      <c r="S33" s="98">
        <f>O33/(O33+P33)</f>
        <v>1</v>
      </c>
      <c r="T33" s="98" t="e">
        <f>N33/(N33+P33)</f>
        <v>#DIV/0!</v>
      </c>
      <c r="U33" s="98">
        <f>O33/(O33+Q33)</f>
        <v>1</v>
      </c>
      <c r="V33" s="98">
        <f>(N33+O33)/(N33+O33+P33+Q33)</f>
        <v>1</v>
      </c>
      <c r="Z33" s="148" t="s">
        <v>465</v>
      </c>
      <c r="AA33" s="34">
        <v>8</v>
      </c>
      <c r="AB33" s="34">
        <v>1</v>
      </c>
      <c r="AC33" s="147">
        <f>SUM(AA33:AB33)</f>
        <v>9</v>
      </c>
      <c r="AG33" s="182" t="s">
        <v>465</v>
      </c>
      <c r="AH33" s="61">
        <v>0</v>
      </c>
      <c r="AI33" s="61">
        <v>0</v>
      </c>
      <c r="AJ33" s="181">
        <f>SUM(AH33:AI33)</f>
        <v>0</v>
      </c>
    </row>
    <row r="34" spans="1:36" ht="16.2" thickBot="1" x14ac:dyDescent="0.35">
      <c r="M34" s="96" t="s">
        <v>8</v>
      </c>
      <c r="N34" s="97">
        <v>0</v>
      </c>
      <c r="O34" s="97">
        <v>2</v>
      </c>
      <c r="P34" s="97">
        <v>0</v>
      </c>
      <c r="Q34" s="97">
        <v>0</v>
      </c>
      <c r="R34" s="98" t="e">
        <f t="shared" ref="R34:R35" si="32">N34/(N34+Q34)</f>
        <v>#DIV/0!</v>
      </c>
      <c r="S34" s="98">
        <f t="shared" ref="S34:S35" si="33">O34/(O34+P34)</f>
        <v>1</v>
      </c>
      <c r="T34" s="98" t="e">
        <f t="shared" ref="T34:T35" si="34">N34/(N34+P34)</f>
        <v>#DIV/0!</v>
      </c>
      <c r="U34" s="98">
        <f t="shared" ref="U34:U35" si="35">O34/(O34+Q34)</f>
        <v>1</v>
      </c>
      <c r="V34" s="98">
        <f t="shared" ref="V34:V35" si="36">(N34+O34)/(N34+O34+P34+Q34)</f>
        <v>1</v>
      </c>
      <c r="Z34" s="148" t="s">
        <v>466</v>
      </c>
      <c r="AA34" s="34">
        <v>2</v>
      </c>
      <c r="AB34" s="34">
        <v>0</v>
      </c>
      <c r="AC34" s="147">
        <f t="shared" ref="AC34" si="37">SUM(AA34:AB34)</f>
        <v>2</v>
      </c>
      <c r="AG34" s="182" t="s">
        <v>466</v>
      </c>
      <c r="AH34" s="61">
        <v>1</v>
      </c>
      <c r="AI34" s="61">
        <v>0</v>
      </c>
      <c r="AJ34" s="181">
        <f t="shared" ref="AJ34" si="38">SUM(AH34:AI34)</f>
        <v>1</v>
      </c>
    </row>
    <row r="35" spans="1:36" ht="16.2" thickBot="1" x14ac:dyDescent="0.35">
      <c r="A35" s="43" t="s">
        <v>309</v>
      </c>
      <c r="B35" s="44">
        <v>2</v>
      </c>
      <c r="D35" s="51" t="s">
        <v>345</v>
      </c>
      <c r="E35" s="52">
        <v>2</v>
      </c>
      <c r="G35" s="57" t="s">
        <v>381</v>
      </c>
      <c r="H35" s="58">
        <v>1</v>
      </c>
      <c r="J35" s="68" t="s">
        <v>417</v>
      </c>
      <c r="K35" s="69">
        <v>3</v>
      </c>
      <c r="M35" s="96" t="s">
        <v>280</v>
      </c>
      <c r="N35" s="97">
        <v>0</v>
      </c>
      <c r="O35" s="97">
        <v>1</v>
      </c>
      <c r="P35" s="97">
        <v>1</v>
      </c>
      <c r="Q35" s="97">
        <v>0</v>
      </c>
      <c r="R35" s="98" t="e">
        <f t="shared" si="32"/>
        <v>#DIV/0!</v>
      </c>
      <c r="S35" s="98">
        <f t="shared" si="33"/>
        <v>0.5</v>
      </c>
      <c r="T35" s="98">
        <f t="shared" si="34"/>
        <v>0</v>
      </c>
      <c r="U35" s="98">
        <f t="shared" si="35"/>
        <v>1</v>
      </c>
      <c r="V35" s="98">
        <f t="shared" si="36"/>
        <v>0.5</v>
      </c>
      <c r="Z35" s="149" t="s">
        <v>467</v>
      </c>
      <c r="AA35" s="150">
        <f>SUM(AA33:AA34)</f>
        <v>10</v>
      </c>
      <c r="AB35" s="150">
        <f t="shared" ref="AB35:AC35" si="39">SUM(AB33:AB34)</f>
        <v>1</v>
      </c>
      <c r="AC35" s="151">
        <f t="shared" si="39"/>
        <v>11</v>
      </c>
      <c r="AG35" s="183" t="s">
        <v>467</v>
      </c>
      <c r="AH35" s="184">
        <f>SUM(AH33:AH34)</f>
        <v>1</v>
      </c>
      <c r="AI35" s="184">
        <f t="shared" ref="AI35:AJ35" si="40">SUM(AI33:AI34)</f>
        <v>0</v>
      </c>
      <c r="AJ35" s="185">
        <f t="shared" si="40"/>
        <v>1</v>
      </c>
    </row>
    <row r="36" spans="1:36" ht="15.6" x14ac:dyDescent="0.3">
      <c r="A36" s="43" t="s">
        <v>310</v>
      </c>
      <c r="B36" s="44">
        <v>0</v>
      </c>
      <c r="D36" s="51" t="s">
        <v>346</v>
      </c>
      <c r="E36" s="52">
        <v>0</v>
      </c>
      <c r="G36" s="57" t="s">
        <v>382</v>
      </c>
      <c r="H36" s="58">
        <v>0</v>
      </c>
      <c r="J36" s="68" t="s">
        <v>418</v>
      </c>
      <c r="K36" s="69">
        <v>0</v>
      </c>
      <c r="M36" s="129"/>
      <c r="N36" s="41"/>
      <c r="O36" s="41"/>
      <c r="P36" s="41"/>
      <c r="Q36" s="41"/>
      <c r="R36" s="42"/>
      <c r="S36" s="42"/>
      <c r="T36" s="42"/>
      <c r="U36" s="42"/>
      <c r="V36" s="42"/>
      <c r="Z36" s="15"/>
      <c r="AA36" s="15"/>
      <c r="AB36" s="15"/>
      <c r="AC36" s="15"/>
      <c r="AG36" s="186"/>
      <c r="AH36" s="186"/>
      <c r="AI36" s="186"/>
      <c r="AJ36" s="186"/>
    </row>
    <row r="37" spans="1:36" ht="16.2" thickBot="1" x14ac:dyDescent="0.35">
      <c r="A37" s="43" t="s">
        <v>311</v>
      </c>
      <c r="B37" s="44">
        <v>0</v>
      </c>
      <c r="D37" s="51" t="s">
        <v>347</v>
      </c>
      <c r="E37" s="52">
        <v>0</v>
      </c>
      <c r="G37" s="57" t="s">
        <v>383</v>
      </c>
      <c r="H37" s="58">
        <v>0</v>
      </c>
      <c r="J37" s="68" t="s">
        <v>419</v>
      </c>
      <c r="K37" s="69">
        <v>0</v>
      </c>
      <c r="M37" s="129"/>
      <c r="N37" s="41"/>
      <c r="O37" s="41"/>
      <c r="P37" s="41"/>
      <c r="Q37" s="41"/>
      <c r="R37" s="42"/>
      <c r="S37" s="42"/>
      <c r="T37" s="42"/>
      <c r="U37" s="42"/>
      <c r="V37" s="42"/>
      <c r="Z37" s="15"/>
      <c r="AA37" s="15"/>
      <c r="AB37" s="15"/>
      <c r="AC37" s="15"/>
      <c r="AG37" s="186"/>
      <c r="AH37" s="186"/>
      <c r="AI37" s="186"/>
      <c r="AJ37" s="186"/>
    </row>
    <row r="38" spans="1:36" ht="16.2" thickBot="1" x14ac:dyDescent="0.35">
      <c r="A38" s="43" t="s">
        <v>312</v>
      </c>
      <c r="B38" s="44">
        <v>0</v>
      </c>
      <c r="D38" s="51" t="s">
        <v>348</v>
      </c>
      <c r="E38" s="52">
        <v>0</v>
      </c>
      <c r="G38" s="57" t="s">
        <v>384</v>
      </c>
      <c r="H38" s="58">
        <v>0</v>
      </c>
      <c r="J38" s="68" t="s">
        <v>420</v>
      </c>
      <c r="K38" s="69">
        <v>0</v>
      </c>
      <c r="M38" s="244" t="s">
        <v>481</v>
      </c>
      <c r="N38" s="245"/>
      <c r="O38" s="245"/>
      <c r="P38" s="245"/>
      <c r="Q38" s="245"/>
      <c r="R38" s="245"/>
      <c r="S38" s="245"/>
      <c r="T38" s="245"/>
      <c r="U38" s="245"/>
      <c r="V38" s="246"/>
      <c r="Z38" s="265" t="s">
        <v>496</v>
      </c>
      <c r="AA38" s="266"/>
      <c r="AB38" s="266"/>
      <c r="AC38" s="267"/>
      <c r="AG38" s="283" t="s">
        <v>512</v>
      </c>
      <c r="AH38" s="284"/>
      <c r="AI38" s="284"/>
      <c r="AJ38" s="285"/>
    </row>
    <row r="39" spans="1:36" ht="16.2" thickBot="1" x14ac:dyDescent="0.35">
      <c r="A39" s="16"/>
      <c r="B39" s="16"/>
      <c r="D39" s="53"/>
      <c r="E39" s="53"/>
      <c r="G39" s="59"/>
      <c r="H39" s="59"/>
      <c r="J39" s="70"/>
      <c r="K39" s="70"/>
      <c r="M39" s="89" t="s">
        <v>0</v>
      </c>
      <c r="N39" s="90" t="s">
        <v>11</v>
      </c>
      <c r="O39" s="90" t="s">
        <v>12</v>
      </c>
      <c r="P39" s="90" t="s">
        <v>13</v>
      </c>
      <c r="Q39" s="90" t="s">
        <v>14</v>
      </c>
      <c r="R39" s="90" t="s">
        <v>1</v>
      </c>
      <c r="S39" s="90" t="s">
        <v>2</v>
      </c>
      <c r="T39" s="90" t="s">
        <v>3</v>
      </c>
      <c r="U39" s="90" t="s">
        <v>4</v>
      </c>
      <c r="V39" s="90" t="s">
        <v>5</v>
      </c>
      <c r="Z39" s="135"/>
      <c r="AA39" s="34" t="s">
        <v>468</v>
      </c>
      <c r="AB39" s="34" t="s">
        <v>469</v>
      </c>
      <c r="AC39" s="147" t="s">
        <v>467</v>
      </c>
      <c r="AG39" s="135"/>
      <c r="AH39" s="61" t="s">
        <v>468</v>
      </c>
      <c r="AI39" s="61" t="s">
        <v>469</v>
      </c>
      <c r="AJ39" s="181" t="s">
        <v>467</v>
      </c>
    </row>
    <row r="40" spans="1:36" ht="16.2" thickBot="1" x14ac:dyDescent="0.35">
      <c r="A40" s="43" t="s">
        <v>313</v>
      </c>
      <c r="B40" s="44">
        <v>2</v>
      </c>
      <c r="D40" s="51" t="s">
        <v>349</v>
      </c>
      <c r="E40" s="52">
        <v>2</v>
      </c>
      <c r="G40" s="57" t="s">
        <v>385</v>
      </c>
      <c r="H40" s="58">
        <v>1</v>
      </c>
      <c r="J40" s="68" t="s">
        <v>421</v>
      </c>
      <c r="K40" s="69">
        <v>3</v>
      </c>
      <c r="M40" s="91" t="s">
        <v>233</v>
      </c>
      <c r="N40" s="92">
        <v>2</v>
      </c>
      <c r="O40" s="92">
        <v>0</v>
      </c>
      <c r="P40" s="92">
        <v>0</v>
      </c>
      <c r="Q40" s="92">
        <v>0</v>
      </c>
      <c r="R40" s="93">
        <f>N40/(N40+Q40)</f>
        <v>1</v>
      </c>
      <c r="S40" s="93" t="e">
        <f>O40/(O40+P40)</f>
        <v>#DIV/0!</v>
      </c>
      <c r="T40" s="93">
        <f>N40/(N40+P40)</f>
        <v>1</v>
      </c>
      <c r="U40" s="93" t="e">
        <f>O40/(O40+Q40)</f>
        <v>#DIV/0!</v>
      </c>
      <c r="V40" s="93">
        <f>(N40+O40)/(N40+O40+P40+Q40)</f>
        <v>1</v>
      </c>
      <c r="Z40" s="148" t="s">
        <v>465</v>
      </c>
      <c r="AA40" s="34">
        <v>9</v>
      </c>
      <c r="AB40" s="34">
        <v>0</v>
      </c>
      <c r="AC40" s="147">
        <f>SUM(AA40:AB40)</f>
        <v>9</v>
      </c>
      <c r="AG40" s="182" t="s">
        <v>465</v>
      </c>
      <c r="AH40" s="61">
        <v>0</v>
      </c>
      <c r="AI40" s="61">
        <v>0</v>
      </c>
      <c r="AJ40" s="181">
        <f>SUM(AH40:AI40)</f>
        <v>0</v>
      </c>
    </row>
    <row r="41" spans="1:36" ht="16.2" thickBot="1" x14ac:dyDescent="0.35">
      <c r="A41" s="43" t="s">
        <v>314</v>
      </c>
      <c r="B41" s="44">
        <v>0</v>
      </c>
      <c r="D41" s="51" t="s">
        <v>350</v>
      </c>
      <c r="E41" s="52">
        <v>0</v>
      </c>
      <c r="G41" s="57" t="s">
        <v>386</v>
      </c>
      <c r="H41" s="58">
        <v>0</v>
      </c>
      <c r="J41" s="68" t="s">
        <v>422</v>
      </c>
      <c r="K41" s="69">
        <v>0</v>
      </c>
      <c r="M41" s="91" t="s">
        <v>8</v>
      </c>
      <c r="N41" s="92">
        <v>2</v>
      </c>
      <c r="O41" s="92">
        <v>0</v>
      </c>
      <c r="P41" s="92">
        <v>0</v>
      </c>
      <c r="Q41" s="92">
        <v>0</v>
      </c>
      <c r="R41" s="93">
        <f t="shared" ref="R41:R42" si="41">N41/(N41+Q41)</f>
        <v>1</v>
      </c>
      <c r="S41" s="93" t="e">
        <f t="shared" ref="S41:S42" si="42">O41/(O41+P41)</f>
        <v>#DIV/0!</v>
      </c>
      <c r="T41" s="93">
        <f t="shared" ref="T41:T42" si="43">N41/(N41+P41)</f>
        <v>1</v>
      </c>
      <c r="U41" s="93" t="e">
        <f t="shared" ref="U41:U42" si="44">O41/(O41+Q41)</f>
        <v>#DIV/0!</v>
      </c>
      <c r="V41" s="93">
        <f t="shared" ref="V41:V42" si="45">(N41+O41)/(N41+O41+P41+Q41)</f>
        <v>1</v>
      </c>
      <c r="Z41" s="148" t="s">
        <v>466</v>
      </c>
      <c r="AA41" s="34">
        <v>2</v>
      </c>
      <c r="AB41" s="34">
        <v>0</v>
      </c>
      <c r="AC41" s="147">
        <f t="shared" ref="AC41:AC42" si="46">SUM(AA41:AB41)</f>
        <v>2</v>
      </c>
      <c r="AG41" s="182" t="s">
        <v>466</v>
      </c>
      <c r="AH41" s="61">
        <v>0</v>
      </c>
      <c r="AI41" s="61">
        <v>1</v>
      </c>
      <c r="AJ41" s="181">
        <f t="shared" ref="AJ41:AJ42" si="47">SUM(AH41:AI41)</f>
        <v>1</v>
      </c>
    </row>
    <row r="42" spans="1:36" ht="16.2" thickBot="1" x14ac:dyDescent="0.35">
      <c r="A42" s="43" t="s">
        <v>315</v>
      </c>
      <c r="B42" s="44">
        <v>0</v>
      </c>
      <c r="D42" s="51" t="s">
        <v>351</v>
      </c>
      <c r="E42" s="52">
        <v>0</v>
      </c>
      <c r="G42" s="57" t="s">
        <v>387</v>
      </c>
      <c r="H42" s="58">
        <v>0</v>
      </c>
      <c r="J42" s="68" t="s">
        <v>423</v>
      </c>
      <c r="K42" s="69">
        <v>0</v>
      </c>
      <c r="M42" s="91" t="s">
        <v>280</v>
      </c>
      <c r="N42" s="92">
        <v>2</v>
      </c>
      <c r="O42" s="92">
        <v>0</v>
      </c>
      <c r="P42" s="92">
        <v>0</v>
      </c>
      <c r="Q42" s="92">
        <v>0</v>
      </c>
      <c r="R42" s="93">
        <f t="shared" si="41"/>
        <v>1</v>
      </c>
      <c r="S42" s="93" t="e">
        <f t="shared" si="42"/>
        <v>#DIV/0!</v>
      </c>
      <c r="T42" s="93">
        <f t="shared" si="43"/>
        <v>1</v>
      </c>
      <c r="U42" s="93" t="e">
        <f t="shared" si="44"/>
        <v>#DIV/0!</v>
      </c>
      <c r="V42" s="93">
        <f t="shared" si="45"/>
        <v>1</v>
      </c>
      <c r="Z42" s="149" t="s">
        <v>467</v>
      </c>
      <c r="AA42" s="150">
        <f>SUM(AA40:AA41)</f>
        <v>11</v>
      </c>
      <c r="AB42" s="150">
        <f t="shared" ref="AB42" si="48">SUM(AB40:AB41)</f>
        <v>0</v>
      </c>
      <c r="AC42" s="151">
        <f t="shared" si="46"/>
        <v>11</v>
      </c>
      <c r="AG42" s="183" t="s">
        <v>467</v>
      </c>
      <c r="AH42" s="184">
        <f>SUM(AH40:AH41)</f>
        <v>0</v>
      </c>
      <c r="AI42" s="184">
        <f t="shared" ref="AI42" si="49">SUM(AI40:AI41)</f>
        <v>1</v>
      </c>
      <c r="AJ42" s="185">
        <f t="shared" si="47"/>
        <v>1</v>
      </c>
    </row>
    <row r="43" spans="1:36" ht="15.6" x14ac:dyDescent="0.3">
      <c r="A43" s="43" t="s">
        <v>316</v>
      </c>
      <c r="B43" s="44">
        <v>0</v>
      </c>
      <c r="D43" s="51" t="s">
        <v>352</v>
      </c>
      <c r="E43" s="52">
        <v>0</v>
      </c>
      <c r="G43" s="57" t="s">
        <v>388</v>
      </c>
      <c r="H43" s="58">
        <v>0</v>
      </c>
      <c r="J43" s="68" t="s">
        <v>424</v>
      </c>
      <c r="K43" s="69">
        <v>0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36" ht="16.2" thickBot="1" x14ac:dyDescent="0.35">
      <c r="A44" s="16"/>
      <c r="B44" s="16"/>
      <c r="D44" s="53"/>
      <c r="E44" s="53"/>
      <c r="G44" s="59"/>
      <c r="H44" s="59"/>
      <c r="J44" s="70"/>
      <c r="K44" s="70"/>
      <c r="M44" s="129"/>
      <c r="N44" s="41"/>
      <c r="O44" s="41"/>
      <c r="P44" s="41"/>
      <c r="Q44" s="41"/>
      <c r="R44" s="42"/>
      <c r="S44" s="42"/>
      <c r="T44" s="42"/>
      <c r="U44" s="42"/>
      <c r="V44" s="42"/>
    </row>
    <row r="45" spans="1:36" ht="16.2" thickBot="1" x14ac:dyDescent="0.35">
      <c r="A45" s="43" t="s">
        <v>317</v>
      </c>
      <c r="B45" s="44">
        <v>2</v>
      </c>
      <c r="D45" s="51" t="s">
        <v>353</v>
      </c>
      <c r="E45" s="52">
        <v>2</v>
      </c>
      <c r="G45" s="57" t="s">
        <v>389</v>
      </c>
      <c r="H45" s="58">
        <v>1</v>
      </c>
      <c r="J45" s="68" t="s">
        <v>425</v>
      </c>
      <c r="K45" s="69">
        <v>3</v>
      </c>
      <c r="M45" s="247" t="s">
        <v>482</v>
      </c>
      <c r="N45" s="248"/>
      <c r="O45" s="248"/>
      <c r="P45" s="248"/>
      <c r="Q45" s="248"/>
      <c r="R45" s="248"/>
      <c r="S45" s="248"/>
      <c r="T45" s="248"/>
      <c r="U45" s="248"/>
      <c r="V45" s="249"/>
      <c r="Z45" s="268" t="s">
        <v>497</v>
      </c>
      <c r="AA45" s="269"/>
      <c r="AB45" s="269"/>
      <c r="AC45" s="270"/>
      <c r="AG45" s="286" t="s">
        <v>513</v>
      </c>
      <c r="AH45" s="287"/>
      <c r="AI45" s="287"/>
      <c r="AJ45" s="288"/>
    </row>
    <row r="46" spans="1:36" ht="16.2" thickBot="1" x14ac:dyDescent="0.35">
      <c r="A46" s="43" t="s">
        <v>318</v>
      </c>
      <c r="B46" s="44">
        <v>0</v>
      </c>
      <c r="D46" s="51" t="s">
        <v>354</v>
      </c>
      <c r="E46" s="52">
        <v>0</v>
      </c>
      <c r="G46" s="57" t="s">
        <v>390</v>
      </c>
      <c r="H46" s="58">
        <v>0</v>
      </c>
      <c r="J46" s="68" t="s">
        <v>426</v>
      </c>
      <c r="K46" s="69">
        <v>0</v>
      </c>
      <c r="M46" s="99" t="s">
        <v>0</v>
      </c>
      <c r="N46" s="100" t="s">
        <v>11</v>
      </c>
      <c r="O46" s="100" t="s">
        <v>12</v>
      </c>
      <c r="P46" s="100" t="s">
        <v>13</v>
      </c>
      <c r="Q46" s="100" t="s">
        <v>14</v>
      </c>
      <c r="R46" s="100" t="s">
        <v>1</v>
      </c>
      <c r="S46" s="100" t="s">
        <v>2</v>
      </c>
      <c r="T46" s="100" t="s">
        <v>3</v>
      </c>
      <c r="U46" s="100" t="s">
        <v>4</v>
      </c>
      <c r="V46" s="100" t="s">
        <v>5</v>
      </c>
      <c r="Z46" s="135"/>
      <c r="AA46" s="44" t="s">
        <v>468</v>
      </c>
      <c r="AB46" s="44" t="s">
        <v>469</v>
      </c>
      <c r="AC46" s="152" t="s">
        <v>467</v>
      </c>
      <c r="AG46" s="135"/>
      <c r="AH46" s="58" t="s">
        <v>468</v>
      </c>
      <c r="AI46" s="58" t="s">
        <v>469</v>
      </c>
      <c r="AJ46" s="187" t="s">
        <v>467</v>
      </c>
    </row>
    <row r="47" spans="1:36" ht="16.2" thickBot="1" x14ac:dyDescent="0.35">
      <c r="A47" s="43" t="s">
        <v>319</v>
      </c>
      <c r="B47" s="44">
        <v>0</v>
      </c>
      <c r="D47" s="51" t="s">
        <v>355</v>
      </c>
      <c r="E47" s="52">
        <v>0</v>
      </c>
      <c r="G47" s="57" t="s">
        <v>391</v>
      </c>
      <c r="H47" s="58">
        <v>0</v>
      </c>
      <c r="J47" s="68" t="s">
        <v>427</v>
      </c>
      <c r="K47" s="69">
        <v>0</v>
      </c>
      <c r="M47" s="101" t="s">
        <v>233</v>
      </c>
      <c r="N47" s="102">
        <v>0</v>
      </c>
      <c r="O47" s="102">
        <v>1</v>
      </c>
      <c r="P47" s="102">
        <v>0</v>
      </c>
      <c r="Q47" s="102">
        <v>1</v>
      </c>
      <c r="R47" s="103">
        <f>N47/(N47+Q47)</f>
        <v>0</v>
      </c>
      <c r="S47" s="103">
        <f>O47/(O47+P47)</f>
        <v>1</v>
      </c>
      <c r="T47" s="103" t="e">
        <f>N47/(N47+P47)</f>
        <v>#DIV/0!</v>
      </c>
      <c r="U47" s="103">
        <f>O47/(O47+Q47)</f>
        <v>0.5</v>
      </c>
      <c r="V47" s="103">
        <f>(N47+O47)/(N47+O47+P47+Q47)</f>
        <v>0.5</v>
      </c>
      <c r="Z47" s="153" t="s">
        <v>465</v>
      </c>
      <c r="AA47" s="44">
        <v>2</v>
      </c>
      <c r="AB47" s="44">
        <v>0</v>
      </c>
      <c r="AC47" s="152">
        <f>SUM(AA47:AB47)</f>
        <v>2</v>
      </c>
      <c r="AG47" s="188" t="s">
        <v>465</v>
      </c>
      <c r="AH47" s="58">
        <v>1</v>
      </c>
      <c r="AI47" s="58">
        <v>0</v>
      </c>
      <c r="AJ47" s="187">
        <f>SUM(AH47:AI47)</f>
        <v>1</v>
      </c>
    </row>
    <row r="48" spans="1:36" ht="16.2" thickBot="1" x14ac:dyDescent="0.35">
      <c r="A48" s="43" t="s">
        <v>320</v>
      </c>
      <c r="B48" s="44">
        <v>0</v>
      </c>
      <c r="D48" s="51" t="s">
        <v>356</v>
      </c>
      <c r="E48" s="52">
        <v>0</v>
      </c>
      <c r="G48" s="57" t="s">
        <v>392</v>
      </c>
      <c r="H48" s="58">
        <v>0</v>
      </c>
      <c r="J48" s="68" t="s">
        <v>428</v>
      </c>
      <c r="K48" s="69">
        <v>0</v>
      </c>
      <c r="M48" s="101" t="s">
        <v>8</v>
      </c>
      <c r="N48" s="102">
        <v>1</v>
      </c>
      <c r="O48" s="102">
        <v>0</v>
      </c>
      <c r="P48" s="102">
        <v>1</v>
      </c>
      <c r="Q48" s="102">
        <v>0</v>
      </c>
      <c r="R48" s="103">
        <f t="shared" ref="R48:R49" si="50">N48/(N48+Q48)</f>
        <v>1</v>
      </c>
      <c r="S48" s="103">
        <f t="shared" ref="S48:S49" si="51">O48/(O48+P48)</f>
        <v>0</v>
      </c>
      <c r="T48" s="103">
        <f t="shared" ref="T48:T49" si="52">N48/(N48+P48)</f>
        <v>0.5</v>
      </c>
      <c r="U48" s="103" t="e">
        <f t="shared" ref="U48:U49" si="53">O48/(O48+Q48)</f>
        <v>#DIV/0!</v>
      </c>
      <c r="V48" s="103">
        <f t="shared" ref="V48:V49" si="54">(N48+O48)/(N48+O48+P48+Q48)</f>
        <v>0.5</v>
      </c>
      <c r="Z48" s="153" t="s">
        <v>466</v>
      </c>
      <c r="AA48" s="44">
        <v>0</v>
      </c>
      <c r="AB48" s="44">
        <v>0</v>
      </c>
      <c r="AC48" s="152">
        <f t="shared" ref="AC48:AC49" si="55">SUM(AA48:AB48)</f>
        <v>0</v>
      </c>
      <c r="AG48" s="188" t="s">
        <v>466</v>
      </c>
      <c r="AH48" s="58">
        <v>0</v>
      </c>
      <c r="AI48" s="58">
        <v>0</v>
      </c>
      <c r="AJ48" s="187">
        <f t="shared" ref="AJ48:AJ49" si="56">SUM(AH48:AI48)</f>
        <v>0</v>
      </c>
    </row>
    <row r="49" spans="13:36" ht="16.2" thickBot="1" x14ac:dyDescent="0.35">
      <c r="M49" s="101" t="s">
        <v>280</v>
      </c>
      <c r="N49" s="102">
        <v>0</v>
      </c>
      <c r="O49" s="102">
        <v>1</v>
      </c>
      <c r="P49" s="102">
        <v>0</v>
      </c>
      <c r="Q49" s="102">
        <v>1</v>
      </c>
      <c r="R49" s="103">
        <f t="shared" si="50"/>
        <v>0</v>
      </c>
      <c r="S49" s="103">
        <f t="shared" si="51"/>
        <v>1</v>
      </c>
      <c r="T49" s="103" t="e">
        <f t="shared" si="52"/>
        <v>#DIV/0!</v>
      </c>
      <c r="U49" s="103">
        <f t="shared" si="53"/>
        <v>0.5</v>
      </c>
      <c r="V49" s="103">
        <f t="shared" si="54"/>
        <v>0.5</v>
      </c>
      <c r="Z49" s="154" t="s">
        <v>467</v>
      </c>
      <c r="AA49" s="155">
        <f>SUM(AA47:AA48)</f>
        <v>2</v>
      </c>
      <c r="AB49" s="155">
        <f>SUM(AB47:AB48)</f>
        <v>0</v>
      </c>
      <c r="AC49" s="156">
        <f t="shared" si="55"/>
        <v>2</v>
      </c>
      <c r="AG49" s="189" t="s">
        <v>467</v>
      </c>
      <c r="AH49" s="190">
        <f>SUM(AH47:AH48)</f>
        <v>1</v>
      </c>
      <c r="AI49" s="190">
        <f>SUM(AI47:AI48)</f>
        <v>0</v>
      </c>
      <c r="AJ49" s="191">
        <f t="shared" si="56"/>
        <v>1</v>
      </c>
    </row>
    <row r="50" spans="13:36" ht="15.6" x14ac:dyDescent="0.3">
      <c r="M50" s="129"/>
      <c r="N50" s="41"/>
      <c r="O50" s="41"/>
      <c r="P50" s="41"/>
      <c r="Q50" s="41"/>
      <c r="R50" s="42"/>
      <c r="S50" s="42"/>
      <c r="T50" s="42"/>
      <c r="U50" s="42"/>
      <c r="V50" s="42"/>
      <c r="Z50" s="18"/>
      <c r="AA50" s="18"/>
      <c r="AB50" s="18"/>
      <c r="AC50" s="18"/>
      <c r="AG50" s="192"/>
      <c r="AH50" s="192"/>
      <c r="AI50" s="192"/>
      <c r="AJ50" s="192"/>
    </row>
    <row r="51" spans="13:36" ht="16.2" thickBot="1" x14ac:dyDescent="0.35">
      <c r="M51" s="129"/>
      <c r="N51" s="41"/>
      <c r="O51" s="41"/>
      <c r="P51" s="41"/>
      <c r="Q51" s="41"/>
      <c r="R51" s="42"/>
      <c r="S51" s="42"/>
      <c r="T51" s="42"/>
      <c r="U51" s="42"/>
      <c r="V51" s="42"/>
      <c r="Z51" s="18"/>
      <c r="AA51" s="18"/>
      <c r="AB51" s="18"/>
      <c r="AC51" s="18"/>
      <c r="AG51" s="192"/>
      <c r="AH51" s="192"/>
      <c r="AI51" s="192"/>
      <c r="AJ51" s="192"/>
    </row>
    <row r="52" spans="13:36" ht="16.2" thickBot="1" x14ac:dyDescent="0.35">
      <c r="M52" s="250" t="s">
        <v>483</v>
      </c>
      <c r="N52" s="251"/>
      <c r="O52" s="251"/>
      <c r="P52" s="251"/>
      <c r="Q52" s="251"/>
      <c r="R52" s="251"/>
      <c r="S52" s="251"/>
      <c r="T52" s="251"/>
      <c r="U52" s="251"/>
      <c r="V52" s="252"/>
      <c r="Z52" s="268" t="s">
        <v>498</v>
      </c>
      <c r="AA52" s="269"/>
      <c r="AB52" s="269"/>
      <c r="AC52" s="270"/>
      <c r="AG52" s="286" t="s">
        <v>514</v>
      </c>
      <c r="AH52" s="287"/>
      <c r="AI52" s="287"/>
      <c r="AJ52" s="288"/>
    </row>
    <row r="53" spans="13:36" ht="16.2" thickBot="1" x14ac:dyDescent="0.35">
      <c r="M53" s="104" t="s">
        <v>0</v>
      </c>
      <c r="N53" s="105" t="s">
        <v>11</v>
      </c>
      <c r="O53" s="105" t="s">
        <v>12</v>
      </c>
      <c r="P53" s="105" t="s">
        <v>13</v>
      </c>
      <c r="Q53" s="105" t="s">
        <v>14</v>
      </c>
      <c r="R53" s="105" t="s">
        <v>1</v>
      </c>
      <c r="S53" s="105" t="s">
        <v>2</v>
      </c>
      <c r="T53" s="105" t="s">
        <v>3</v>
      </c>
      <c r="U53" s="105" t="s">
        <v>4</v>
      </c>
      <c r="V53" s="105" t="s">
        <v>5</v>
      </c>
      <c r="Z53" s="135"/>
      <c r="AA53" s="44" t="s">
        <v>468</v>
      </c>
      <c r="AB53" s="44" t="s">
        <v>469</v>
      </c>
      <c r="AC53" s="152" t="s">
        <v>467</v>
      </c>
      <c r="AG53" s="135"/>
      <c r="AH53" s="58" t="s">
        <v>468</v>
      </c>
      <c r="AI53" s="58" t="s">
        <v>469</v>
      </c>
      <c r="AJ53" s="187" t="s">
        <v>467</v>
      </c>
    </row>
    <row r="54" spans="13:36" ht="16.2" thickBot="1" x14ac:dyDescent="0.35">
      <c r="M54" s="106" t="s">
        <v>233</v>
      </c>
      <c r="N54" s="107">
        <v>0</v>
      </c>
      <c r="O54" s="107">
        <v>0</v>
      </c>
      <c r="P54" s="107">
        <v>1</v>
      </c>
      <c r="Q54" s="107">
        <v>0</v>
      </c>
      <c r="R54" s="108" t="e">
        <f>N54/(N54+Q54)</f>
        <v>#DIV/0!</v>
      </c>
      <c r="S54" s="108">
        <f>O54/(O54+P54)</f>
        <v>0</v>
      </c>
      <c r="T54" s="108">
        <f>N54/(N54+P54)</f>
        <v>0</v>
      </c>
      <c r="U54" s="108" t="e">
        <f>O54/(O54+Q54)</f>
        <v>#DIV/0!</v>
      </c>
      <c r="V54" s="108">
        <f>(N54+O54)/(N54+O54+P54+Q54)</f>
        <v>0</v>
      </c>
      <c r="Z54" s="153" t="s">
        <v>465</v>
      </c>
      <c r="AA54" s="44">
        <v>2</v>
      </c>
      <c r="AB54" s="44">
        <v>0</v>
      </c>
      <c r="AC54" s="152">
        <f>SUM(AA54:AB54)</f>
        <v>2</v>
      </c>
      <c r="AG54" s="188" t="s">
        <v>465</v>
      </c>
      <c r="AH54" s="58">
        <v>1</v>
      </c>
      <c r="AI54" s="58">
        <v>0</v>
      </c>
      <c r="AJ54" s="187">
        <f>SUM(AH54:AI54)</f>
        <v>1</v>
      </c>
    </row>
    <row r="55" spans="13:36" ht="16.2" thickBot="1" x14ac:dyDescent="0.35">
      <c r="M55" s="106" t="s">
        <v>8</v>
      </c>
      <c r="N55" s="107">
        <v>0</v>
      </c>
      <c r="O55" s="107">
        <v>0</v>
      </c>
      <c r="P55" s="107">
        <v>1</v>
      </c>
      <c r="Q55" s="107">
        <v>0</v>
      </c>
      <c r="R55" s="108" t="e">
        <f t="shared" ref="R55:R56" si="57">N55/(N55+Q55)</f>
        <v>#DIV/0!</v>
      </c>
      <c r="S55" s="108">
        <f t="shared" ref="S55:S56" si="58">O55/(O55+P55)</f>
        <v>0</v>
      </c>
      <c r="T55" s="108">
        <f t="shared" ref="T55:T56" si="59">N55/(N55+P55)</f>
        <v>0</v>
      </c>
      <c r="U55" s="108" t="e">
        <f t="shared" ref="U55:U56" si="60">O55/(O55+Q55)</f>
        <v>#DIV/0!</v>
      </c>
      <c r="V55" s="108">
        <f t="shared" ref="V55:V56" si="61">(N55+O55)/(N55+O55+P55+Q55)</f>
        <v>0</v>
      </c>
      <c r="Z55" s="153" t="s">
        <v>466</v>
      </c>
      <c r="AA55" s="44">
        <v>0</v>
      </c>
      <c r="AB55" s="44">
        <v>0</v>
      </c>
      <c r="AC55" s="152">
        <f t="shared" ref="AC55" si="62">SUM(AA55:AB55)</f>
        <v>0</v>
      </c>
      <c r="AG55" s="188" t="s">
        <v>466</v>
      </c>
      <c r="AH55" s="58">
        <v>0</v>
      </c>
      <c r="AI55" s="58">
        <v>0</v>
      </c>
      <c r="AJ55" s="187">
        <f t="shared" ref="AJ55" si="63">SUM(AH55:AI55)</f>
        <v>0</v>
      </c>
    </row>
    <row r="56" spans="13:36" ht="16.2" thickBot="1" x14ac:dyDescent="0.35">
      <c r="M56" s="106" t="s">
        <v>280</v>
      </c>
      <c r="N56" s="107">
        <v>0</v>
      </c>
      <c r="O56" s="107">
        <v>1</v>
      </c>
      <c r="P56" s="107">
        <v>0</v>
      </c>
      <c r="Q56" s="107">
        <v>0</v>
      </c>
      <c r="R56" s="108" t="e">
        <f t="shared" si="57"/>
        <v>#DIV/0!</v>
      </c>
      <c r="S56" s="108">
        <f t="shared" si="58"/>
        <v>1</v>
      </c>
      <c r="T56" s="108" t="e">
        <f t="shared" si="59"/>
        <v>#DIV/0!</v>
      </c>
      <c r="U56" s="108">
        <f t="shared" si="60"/>
        <v>1</v>
      </c>
      <c r="V56" s="108">
        <f t="shared" si="61"/>
        <v>1</v>
      </c>
      <c r="Z56" s="154" t="s">
        <v>467</v>
      </c>
      <c r="AA56" s="155">
        <f>SUM(AA54:AA55)</f>
        <v>2</v>
      </c>
      <c r="AB56" s="155">
        <f t="shared" ref="AB56:AC56" si="64">SUM(AB54:AB55)</f>
        <v>0</v>
      </c>
      <c r="AC56" s="156">
        <f t="shared" si="64"/>
        <v>2</v>
      </c>
      <c r="AG56" s="189" t="s">
        <v>467</v>
      </c>
      <c r="AH56" s="190">
        <f>SUM(AH54:AH55)</f>
        <v>1</v>
      </c>
      <c r="AI56" s="190">
        <f t="shared" ref="AI56:AJ56" si="65">SUM(AI54:AI55)</f>
        <v>0</v>
      </c>
      <c r="AJ56" s="191">
        <f t="shared" si="65"/>
        <v>1</v>
      </c>
    </row>
    <row r="57" spans="13:36" ht="15.6" x14ac:dyDescent="0.3">
      <c r="M57" s="129"/>
      <c r="N57" s="41"/>
      <c r="O57" s="41"/>
      <c r="P57" s="41"/>
      <c r="Q57" s="41"/>
      <c r="R57" s="42"/>
      <c r="S57" s="42"/>
      <c r="T57" s="42"/>
      <c r="U57" s="42"/>
      <c r="V57" s="42"/>
      <c r="Z57" s="18"/>
      <c r="AA57" s="18"/>
      <c r="AB57" s="18"/>
      <c r="AC57" s="18"/>
      <c r="AG57" s="192"/>
      <c r="AH57" s="192"/>
      <c r="AI57" s="192"/>
      <c r="AJ57" s="192"/>
    </row>
    <row r="58" spans="13:36" ht="16.2" thickBot="1" x14ac:dyDescent="0.35">
      <c r="M58" s="129"/>
      <c r="N58" s="41"/>
      <c r="O58" s="41"/>
      <c r="P58" s="41"/>
      <c r="Q58" s="41"/>
      <c r="R58" s="42"/>
      <c r="S58" s="42"/>
      <c r="T58" s="42"/>
      <c r="U58" s="42"/>
      <c r="V58" s="42"/>
      <c r="Z58" s="18"/>
      <c r="AA58" s="18"/>
      <c r="AB58" s="18"/>
      <c r="AC58" s="18"/>
      <c r="AG58" s="192"/>
      <c r="AH58" s="192"/>
      <c r="AI58" s="192"/>
      <c r="AJ58" s="192"/>
    </row>
    <row r="59" spans="13:36" ht="16.2" thickBot="1" x14ac:dyDescent="0.35">
      <c r="M59" s="253" t="s">
        <v>484</v>
      </c>
      <c r="N59" s="254"/>
      <c r="O59" s="254"/>
      <c r="P59" s="254"/>
      <c r="Q59" s="254"/>
      <c r="R59" s="254"/>
      <c r="S59" s="254"/>
      <c r="T59" s="254"/>
      <c r="U59" s="254"/>
      <c r="V59" s="255"/>
      <c r="Z59" s="268" t="s">
        <v>499</v>
      </c>
      <c r="AA59" s="269"/>
      <c r="AB59" s="269"/>
      <c r="AC59" s="270"/>
      <c r="AG59" s="286" t="s">
        <v>515</v>
      </c>
      <c r="AH59" s="287"/>
      <c r="AI59" s="287"/>
      <c r="AJ59" s="288"/>
    </row>
    <row r="60" spans="13:36" ht="16.2" thickBot="1" x14ac:dyDescent="0.35">
      <c r="M60" s="109" t="s">
        <v>0</v>
      </c>
      <c r="N60" s="110" t="s">
        <v>11</v>
      </c>
      <c r="O60" s="110" t="s">
        <v>12</v>
      </c>
      <c r="P60" s="110" t="s">
        <v>13</v>
      </c>
      <c r="Q60" s="110" t="s">
        <v>14</v>
      </c>
      <c r="R60" s="110" t="s">
        <v>1</v>
      </c>
      <c r="S60" s="110" t="s">
        <v>2</v>
      </c>
      <c r="T60" s="110" t="s">
        <v>3</v>
      </c>
      <c r="U60" s="110" t="s">
        <v>4</v>
      </c>
      <c r="V60" s="110" t="s">
        <v>5</v>
      </c>
      <c r="Z60" s="135"/>
      <c r="AA60" s="44" t="s">
        <v>468</v>
      </c>
      <c r="AB60" s="44" t="s">
        <v>469</v>
      </c>
      <c r="AC60" s="152" t="s">
        <v>467</v>
      </c>
      <c r="AG60" s="135"/>
      <c r="AH60" s="58" t="s">
        <v>468</v>
      </c>
      <c r="AI60" s="58" t="s">
        <v>469</v>
      </c>
      <c r="AJ60" s="187" t="s">
        <v>467</v>
      </c>
    </row>
    <row r="61" spans="13:36" ht="16.2" thickBot="1" x14ac:dyDescent="0.35">
      <c r="M61" s="111" t="s">
        <v>233</v>
      </c>
      <c r="N61" s="112">
        <v>1</v>
      </c>
      <c r="O61" s="112">
        <v>0</v>
      </c>
      <c r="P61" s="112">
        <v>0</v>
      </c>
      <c r="Q61" s="112">
        <v>0</v>
      </c>
      <c r="R61" s="113">
        <f>N61/(N61+Q61)</f>
        <v>1</v>
      </c>
      <c r="S61" s="113" t="e">
        <f>O61/(O61+P61)</f>
        <v>#DIV/0!</v>
      </c>
      <c r="T61" s="113">
        <f>N61/(N61+P61)</f>
        <v>1</v>
      </c>
      <c r="U61" s="113" t="e">
        <f>O61/(O61+Q61)</f>
        <v>#DIV/0!</v>
      </c>
      <c r="V61" s="113">
        <f>(N61+O61)/(N61+O61+P61+Q61)</f>
        <v>1</v>
      </c>
      <c r="Z61" s="153" t="s">
        <v>465</v>
      </c>
      <c r="AA61" s="44">
        <v>2</v>
      </c>
      <c r="AB61" s="44">
        <v>0</v>
      </c>
      <c r="AC61" s="152">
        <f>SUM(AA61:AB61)</f>
        <v>2</v>
      </c>
      <c r="AG61" s="188" t="s">
        <v>465</v>
      </c>
      <c r="AH61" s="58">
        <v>1</v>
      </c>
      <c r="AI61" s="58">
        <v>0</v>
      </c>
      <c r="AJ61" s="187">
        <f>SUM(AH61:AI61)</f>
        <v>1</v>
      </c>
    </row>
    <row r="62" spans="13:36" ht="16.2" thickBot="1" x14ac:dyDescent="0.35">
      <c r="M62" s="111" t="s">
        <v>8</v>
      </c>
      <c r="N62" s="112">
        <v>1</v>
      </c>
      <c r="O62" s="112">
        <v>0</v>
      </c>
      <c r="P62" s="112">
        <v>0</v>
      </c>
      <c r="Q62" s="112">
        <v>0</v>
      </c>
      <c r="R62" s="113">
        <f t="shared" ref="R62:R63" si="66">N62/(N62+Q62)</f>
        <v>1</v>
      </c>
      <c r="S62" s="113" t="e">
        <f t="shared" ref="S62:S63" si="67">O62/(O62+P62)</f>
        <v>#DIV/0!</v>
      </c>
      <c r="T62" s="113">
        <f t="shared" ref="T62:T63" si="68">N62/(N62+P62)</f>
        <v>1</v>
      </c>
      <c r="U62" s="113" t="e">
        <f t="shared" ref="U62:U63" si="69">O62/(O62+Q62)</f>
        <v>#DIV/0!</v>
      </c>
      <c r="V62" s="113">
        <f t="shared" ref="V62:V63" si="70">(N62+O62)/(N62+O62+P62+Q62)</f>
        <v>1</v>
      </c>
      <c r="Z62" s="153" t="s">
        <v>466</v>
      </c>
      <c r="AA62" s="44">
        <v>0</v>
      </c>
      <c r="AB62" s="44">
        <v>0</v>
      </c>
      <c r="AC62" s="152">
        <f t="shared" ref="AC62:AC63" si="71">SUM(AA62:AB62)</f>
        <v>0</v>
      </c>
      <c r="AG62" s="188" t="s">
        <v>466</v>
      </c>
      <c r="AH62" s="58">
        <v>0</v>
      </c>
      <c r="AI62" s="58">
        <v>0</v>
      </c>
      <c r="AJ62" s="187">
        <f t="shared" ref="AJ62:AJ63" si="72">SUM(AH62:AI62)</f>
        <v>0</v>
      </c>
    </row>
    <row r="63" spans="13:36" ht="16.2" thickBot="1" x14ac:dyDescent="0.35">
      <c r="M63" s="111" t="s">
        <v>280</v>
      </c>
      <c r="N63" s="112">
        <v>1</v>
      </c>
      <c r="O63" s="112">
        <v>0</v>
      </c>
      <c r="P63" s="112">
        <v>0</v>
      </c>
      <c r="Q63" s="112">
        <v>0</v>
      </c>
      <c r="R63" s="113">
        <f t="shared" si="66"/>
        <v>1</v>
      </c>
      <c r="S63" s="113" t="e">
        <f t="shared" si="67"/>
        <v>#DIV/0!</v>
      </c>
      <c r="T63" s="113">
        <f t="shared" si="68"/>
        <v>1</v>
      </c>
      <c r="U63" s="113" t="e">
        <f t="shared" si="69"/>
        <v>#DIV/0!</v>
      </c>
      <c r="V63" s="113">
        <f t="shared" si="70"/>
        <v>1</v>
      </c>
      <c r="Z63" s="154" t="s">
        <v>467</v>
      </c>
      <c r="AA63" s="155">
        <f>SUM(AA61:AA62)</f>
        <v>2</v>
      </c>
      <c r="AB63" s="155">
        <f t="shared" ref="AB63" si="73">SUM(AB61:AB62)</f>
        <v>0</v>
      </c>
      <c r="AC63" s="156">
        <f t="shared" si="71"/>
        <v>2</v>
      </c>
      <c r="AG63" s="189" t="s">
        <v>467</v>
      </c>
      <c r="AH63" s="190">
        <f>SUM(AH61:AH62)</f>
        <v>1</v>
      </c>
      <c r="AI63" s="190">
        <f t="shared" ref="AI63" si="74">SUM(AI61:AI62)</f>
        <v>0</v>
      </c>
      <c r="AJ63" s="191">
        <f t="shared" si="72"/>
        <v>1</v>
      </c>
    </row>
    <row r="64" spans="13:36" ht="15.6" x14ac:dyDescent="0.3">
      <c r="M64" s="129"/>
      <c r="N64" s="41"/>
      <c r="O64" s="41"/>
      <c r="P64" s="41"/>
      <c r="Q64" s="41"/>
      <c r="R64" s="42"/>
      <c r="S64" s="42"/>
      <c r="T64" s="42"/>
      <c r="U64" s="42"/>
      <c r="V64" s="42"/>
    </row>
    <row r="65" spans="13:36" ht="16.2" thickBot="1" x14ac:dyDescent="0.35">
      <c r="M65" s="129"/>
      <c r="N65" s="41"/>
      <c r="O65" s="41"/>
      <c r="P65" s="41"/>
      <c r="Q65" s="41"/>
      <c r="R65" s="42"/>
      <c r="S65" s="42"/>
      <c r="T65" s="42"/>
      <c r="U65" s="42"/>
      <c r="V65" s="42"/>
    </row>
    <row r="66" spans="13:36" ht="16.2" thickBot="1" x14ac:dyDescent="0.35">
      <c r="M66" s="256" t="s">
        <v>485</v>
      </c>
      <c r="N66" s="257"/>
      <c r="O66" s="257"/>
      <c r="P66" s="257"/>
      <c r="Q66" s="257"/>
      <c r="R66" s="257"/>
      <c r="S66" s="257"/>
      <c r="T66" s="257"/>
      <c r="U66" s="257"/>
      <c r="V66" s="258"/>
      <c r="Z66" s="271" t="s">
        <v>500</v>
      </c>
      <c r="AA66" s="272"/>
      <c r="AB66" s="272"/>
      <c r="AC66" s="273"/>
      <c r="AG66" s="289" t="s">
        <v>516</v>
      </c>
      <c r="AH66" s="290"/>
      <c r="AI66" s="290"/>
      <c r="AJ66" s="291"/>
    </row>
    <row r="67" spans="13:36" ht="16.2" thickBot="1" x14ac:dyDescent="0.35">
      <c r="M67" s="114" t="s">
        <v>0</v>
      </c>
      <c r="N67" s="115" t="s">
        <v>11</v>
      </c>
      <c r="O67" s="115" t="s">
        <v>12</v>
      </c>
      <c r="P67" s="115" t="s">
        <v>13</v>
      </c>
      <c r="Q67" s="115" t="s">
        <v>14</v>
      </c>
      <c r="R67" s="115" t="s">
        <v>1</v>
      </c>
      <c r="S67" s="115" t="s">
        <v>2</v>
      </c>
      <c r="T67" s="115" t="s">
        <v>3</v>
      </c>
      <c r="U67" s="115" t="s">
        <v>4</v>
      </c>
      <c r="V67" s="115" t="s">
        <v>5</v>
      </c>
      <c r="Z67" s="135"/>
      <c r="AA67" s="46" t="s">
        <v>468</v>
      </c>
      <c r="AB67" s="46" t="s">
        <v>469</v>
      </c>
      <c r="AC67" s="157" t="s">
        <v>467</v>
      </c>
      <c r="AG67" s="135"/>
      <c r="AH67" s="64" t="s">
        <v>468</v>
      </c>
      <c r="AI67" s="64" t="s">
        <v>469</v>
      </c>
      <c r="AJ67" s="193" t="s">
        <v>467</v>
      </c>
    </row>
    <row r="68" spans="13:36" ht="16.2" thickBot="1" x14ac:dyDescent="0.35">
      <c r="M68" s="116" t="s">
        <v>233</v>
      </c>
      <c r="N68" s="117">
        <v>1</v>
      </c>
      <c r="O68" s="117">
        <v>0</v>
      </c>
      <c r="P68" s="117">
        <v>2</v>
      </c>
      <c r="Q68" s="117">
        <v>0</v>
      </c>
      <c r="R68" s="118">
        <f>N68/(N68+Q68)</f>
        <v>1</v>
      </c>
      <c r="S68" s="118">
        <f>O68/(O68+P68)</f>
        <v>0</v>
      </c>
      <c r="T68" s="118">
        <f>N68/(N68+P68)</f>
        <v>0.33333333333333331</v>
      </c>
      <c r="U68" s="118" t="e">
        <f>O68/(O68+Q68)</f>
        <v>#DIV/0!</v>
      </c>
      <c r="V68" s="118">
        <f>(N68+O68)/(N68+O68+P68+Q68)</f>
        <v>0.33333333333333331</v>
      </c>
      <c r="Z68" s="158" t="s">
        <v>465</v>
      </c>
      <c r="AA68" s="46">
        <v>3</v>
      </c>
      <c r="AB68" s="46">
        <v>1</v>
      </c>
      <c r="AC68" s="157">
        <f>SUM(AA68:AB68)</f>
        <v>4</v>
      </c>
      <c r="AG68" s="194" t="s">
        <v>465</v>
      </c>
      <c r="AH68" s="64">
        <v>1</v>
      </c>
      <c r="AI68" s="64">
        <v>0</v>
      </c>
      <c r="AJ68" s="193">
        <f>SUM(AH68:AI68)</f>
        <v>1</v>
      </c>
    </row>
    <row r="69" spans="13:36" ht="16.2" thickBot="1" x14ac:dyDescent="0.35">
      <c r="M69" s="116" t="s">
        <v>8</v>
      </c>
      <c r="N69" s="117">
        <v>1</v>
      </c>
      <c r="O69" s="117">
        <v>0</v>
      </c>
      <c r="P69" s="117">
        <v>2</v>
      </c>
      <c r="Q69" s="117">
        <v>0</v>
      </c>
      <c r="R69" s="118">
        <f t="shared" ref="R69:R70" si="75">N69/(N69+Q69)</f>
        <v>1</v>
      </c>
      <c r="S69" s="118">
        <f t="shared" ref="S69:S70" si="76">O69/(O69+P69)</f>
        <v>0</v>
      </c>
      <c r="T69" s="118">
        <f t="shared" ref="T69:T70" si="77">N69/(N69+P69)</f>
        <v>0.33333333333333331</v>
      </c>
      <c r="U69" s="118" t="e">
        <f t="shared" ref="U69:U70" si="78">O69/(O69+Q69)</f>
        <v>#DIV/0!</v>
      </c>
      <c r="V69" s="118">
        <f t="shared" ref="V69:V70" si="79">(N69+O69)/(N69+O69+P69+Q69)</f>
        <v>0.33333333333333331</v>
      </c>
      <c r="Z69" s="158" t="s">
        <v>466</v>
      </c>
      <c r="AA69" s="46">
        <v>1</v>
      </c>
      <c r="AB69" s="46">
        <v>3</v>
      </c>
      <c r="AC69" s="157">
        <f t="shared" ref="AC69:AC70" si="80">SUM(AA69:AB69)</f>
        <v>4</v>
      </c>
      <c r="AG69" s="194" t="s">
        <v>466</v>
      </c>
      <c r="AH69" s="64">
        <v>2</v>
      </c>
      <c r="AI69" s="64">
        <v>0</v>
      </c>
      <c r="AJ69" s="193">
        <f t="shared" ref="AJ69:AJ70" si="81">SUM(AH69:AI69)</f>
        <v>2</v>
      </c>
    </row>
    <row r="70" spans="13:36" ht="16.2" thickBot="1" x14ac:dyDescent="0.35">
      <c r="M70" s="116" t="s">
        <v>280</v>
      </c>
      <c r="N70" s="117">
        <v>1</v>
      </c>
      <c r="O70" s="117">
        <v>1</v>
      </c>
      <c r="P70" s="117">
        <v>1</v>
      </c>
      <c r="Q70" s="117">
        <v>0</v>
      </c>
      <c r="R70" s="118">
        <f t="shared" si="75"/>
        <v>1</v>
      </c>
      <c r="S70" s="118">
        <f t="shared" si="76"/>
        <v>0.5</v>
      </c>
      <c r="T70" s="118">
        <f t="shared" si="77"/>
        <v>0.5</v>
      </c>
      <c r="U70" s="118">
        <f t="shared" si="78"/>
        <v>1</v>
      </c>
      <c r="V70" s="118">
        <f t="shared" si="79"/>
        <v>0.66666666666666663</v>
      </c>
      <c r="Z70" s="159" t="s">
        <v>467</v>
      </c>
      <c r="AA70" s="160">
        <f>SUM(AA68:AA69)</f>
        <v>4</v>
      </c>
      <c r="AB70" s="160">
        <f>SUM(AB68:AB69)</f>
        <v>4</v>
      </c>
      <c r="AC70" s="161">
        <f t="shared" si="80"/>
        <v>8</v>
      </c>
      <c r="AG70" s="195" t="s">
        <v>467</v>
      </c>
      <c r="AH70" s="196">
        <f>SUM(AH68:AH69)</f>
        <v>3</v>
      </c>
      <c r="AI70" s="196">
        <f>SUM(AI68:AI69)</f>
        <v>0</v>
      </c>
      <c r="AJ70" s="197">
        <f t="shared" si="81"/>
        <v>3</v>
      </c>
    </row>
    <row r="71" spans="13:36" ht="15.6" x14ac:dyDescent="0.3">
      <c r="M71" s="129"/>
      <c r="N71" s="41"/>
      <c r="O71" s="41"/>
      <c r="P71" s="41"/>
      <c r="Q71" s="41"/>
      <c r="R71" s="42"/>
      <c r="S71" s="42"/>
      <c r="T71" s="42"/>
      <c r="U71" s="42"/>
      <c r="V71" s="42"/>
      <c r="Z71" s="162"/>
      <c r="AA71" s="162"/>
      <c r="AB71" s="162"/>
      <c r="AC71" s="162"/>
      <c r="AG71" s="12"/>
      <c r="AH71" s="12"/>
      <c r="AI71" s="12"/>
      <c r="AJ71" s="12"/>
    </row>
    <row r="72" spans="13:36" ht="16.2" thickBot="1" x14ac:dyDescent="0.35">
      <c r="M72" s="129"/>
      <c r="N72" s="41"/>
      <c r="O72" s="41"/>
      <c r="P72" s="41"/>
      <c r="Q72" s="41"/>
      <c r="R72" s="42"/>
      <c r="S72" s="42"/>
      <c r="T72" s="42"/>
      <c r="U72" s="42"/>
      <c r="V72" s="42"/>
      <c r="Z72" s="162"/>
      <c r="AA72" s="162"/>
      <c r="AB72" s="162"/>
      <c r="AC72" s="162"/>
      <c r="AG72" s="12"/>
      <c r="AH72" s="12"/>
      <c r="AI72" s="12"/>
      <c r="AJ72" s="12"/>
    </row>
    <row r="73" spans="13:36" ht="16.2" thickBot="1" x14ac:dyDescent="0.35">
      <c r="M73" s="259" t="s">
        <v>486</v>
      </c>
      <c r="N73" s="260"/>
      <c r="O73" s="260"/>
      <c r="P73" s="260"/>
      <c r="Q73" s="260"/>
      <c r="R73" s="260"/>
      <c r="S73" s="260"/>
      <c r="T73" s="260"/>
      <c r="U73" s="260"/>
      <c r="V73" s="261"/>
      <c r="Z73" s="271" t="s">
        <v>501</v>
      </c>
      <c r="AA73" s="272"/>
      <c r="AB73" s="272"/>
      <c r="AC73" s="273"/>
      <c r="AG73" s="289" t="s">
        <v>517</v>
      </c>
      <c r="AH73" s="290"/>
      <c r="AI73" s="290"/>
      <c r="AJ73" s="291"/>
    </row>
    <row r="74" spans="13:36" ht="16.2" thickBot="1" x14ac:dyDescent="0.35">
      <c r="M74" s="119" t="s">
        <v>0</v>
      </c>
      <c r="N74" s="120" t="s">
        <v>11</v>
      </c>
      <c r="O74" s="120" t="s">
        <v>12</v>
      </c>
      <c r="P74" s="120" t="s">
        <v>13</v>
      </c>
      <c r="Q74" s="120" t="s">
        <v>14</v>
      </c>
      <c r="R74" s="120" t="s">
        <v>1</v>
      </c>
      <c r="S74" s="120" t="s">
        <v>2</v>
      </c>
      <c r="T74" s="120" t="s">
        <v>3</v>
      </c>
      <c r="U74" s="120" t="s">
        <v>4</v>
      </c>
      <c r="V74" s="120" t="s">
        <v>5</v>
      </c>
      <c r="Z74" s="135"/>
      <c r="AA74" s="46" t="s">
        <v>468</v>
      </c>
      <c r="AB74" s="46" t="s">
        <v>469</v>
      </c>
      <c r="AC74" s="157" t="s">
        <v>467</v>
      </c>
      <c r="AG74" s="135"/>
      <c r="AH74" s="64" t="s">
        <v>468</v>
      </c>
      <c r="AI74" s="64" t="s">
        <v>469</v>
      </c>
      <c r="AJ74" s="193" t="s">
        <v>467</v>
      </c>
    </row>
    <row r="75" spans="13:36" ht="16.2" thickBot="1" x14ac:dyDescent="0.35">
      <c r="M75" s="121" t="s">
        <v>233</v>
      </c>
      <c r="N75" s="122">
        <v>0</v>
      </c>
      <c r="O75" s="122">
        <v>0</v>
      </c>
      <c r="P75" s="122">
        <v>0</v>
      </c>
      <c r="Q75" s="122">
        <v>1</v>
      </c>
      <c r="R75" s="123">
        <f>N75/(N75+Q75)</f>
        <v>0</v>
      </c>
      <c r="S75" s="123" t="e">
        <f>O75/(O75+P75)</f>
        <v>#DIV/0!</v>
      </c>
      <c r="T75" s="123" t="e">
        <f>N75/(N75+P75)</f>
        <v>#DIV/0!</v>
      </c>
      <c r="U75" s="123">
        <f>O75/(O75+Q75)</f>
        <v>0</v>
      </c>
      <c r="V75" s="123">
        <f>(N75+O75)/(N75+O75+P75+Q75)</f>
        <v>0</v>
      </c>
      <c r="Z75" s="158" t="s">
        <v>465</v>
      </c>
      <c r="AA75" s="46">
        <v>1</v>
      </c>
      <c r="AB75" s="46">
        <v>3</v>
      </c>
      <c r="AC75" s="157">
        <f>SUM(AA75:AB75)</f>
        <v>4</v>
      </c>
      <c r="AG75" s="194" t="s">
        <v>465</v>
      </c>
      <c r="AH75" s="64">
        <v>1</v>
      </c>
      <c r="AI75" s="64">
        <v>0</v>
      </c>
      <c r="AJ75" s="193">
        <f>SUM(AH75:AI75)</f>
        <v>1</v>
      </c>
    </row>
    <row r="76" spans="13:36" ht="16.2" thickBot="1" x14ac:dyDescent="0.35">
      <c r="M76" s="121" t="s">
        <v>8</v>
      </c>
      <c r="N76" s="122">
        <v>0</v>
      </c>
      <c r="O76" s="122">
        <v>0</v>
      </c>
      <c r="P76" s="122">
        <v>0</v>
      </c>
      <c r="Q76" s="122">
        <v>1</v>
      </c>
      <c r="R76" s="123">
        <f t="shared" ref="R76:R77" si="82">N76/(N76+Q76)</f>
        <v>0</v>
      </c>
      <c r="S76" s="123" t="e">
        <f t="shared" ref="S76:S77" si="83">O76/(O76+P76)</f>
        <v>#DIV/0!</v>
      </c>
      <c r="T76" s="123" t="e">
        <f t="shared" ref="T76:T77" si="84">N76/(N76+P76)</f>
        <v>#DIV/0!</v>
      </c>
      <c r="U76" s="123">
        <f t="shared" ref="U76:U77" si="85">O76/(O76+Q76)</f>
        <v>0</v>
      </c>
      <c r="V76" s="123">
        <f t="shared" ref="V76:V77" si="86">(N76+O76)/(N76+O76+P76+Q76)</f>
        <v>0</v>
      </c>
      <c r="Z76" s="158" t="s">
        <v>466</v>
      </c>
      <c r="AA76" s="46">
        <v>4</v>
      </c>
      <c r="AB76" s="46">
        <v>0</v>
      </c>
      <c r="AC76" s="157">
        <f t="shared" ref="AC76" si="87">SUM(AA76:AB76)</f>
        <v>4</v>
      </c>
      <c r="AG76" s="194" t="s">
        <v>466</v>
      </c>
      <c r="AH76" s="64">
        <v>2</v>
      </c>
      <c r="AI76" s="64">
        <v>0</v>
      </c>
      <c r="AJ76" s="193">
        <f t="shared" ref="AJ76" si="88">SUM(AH76:AI76)</f>
        <v>2</v>
      </c>
    </row>
    <row r="77" spans="13:36" ht="16.2" thickBot="1" x14ac:dyDescent="0.35">
      <c r="M77" s="121" t="s">
        <v>280</v>
      </c>
      <c r="N77" s="122">
        <v>1</v>
      </c>
      <c r="O77" s="122">
        <v>0</v>
      </c>
      <c r="P77" s="122">
        <v>0</v>
      </c>
      <c r="Q77" s="122">
        <v>0</v>
      </c>
      <c r="R77" s="123">
        <f t="shared" si="82"/>
        <v>1</v>
      </c>
      <c r="S77" s="123" t="e">
        <f t="shared" si="83"/>
        <v>#DIV/0!</v>
      </c>
      <c r="T77" s="123">
        <f t="shared" si="84"/>
        <v>1</v>
      </c>
      <c r="U77" s="123" t="e">
        <f t="shared" si="85"/>
        <v>#DIV/0!</v>
      </c>
      <c r="V77" s="123">
        <f t="shared" si="86"/>
        <v>1</v>
      </c>
      <c r="Z77" s="159" t="s">
        <v>467</v>
      </c>
      <c r="AA77" s="160">
        <f>SUM(AA75:AA76)</f>
        <v>5</v>
      </c>
      <c r="AB77" s="160">
        <f t="shared" ref="AB77:AC77" si="89">SUM(AB75:AB76)</f>
        <v>3</v>
      </c>
      <c r="AC77" s="161">
        <f t="shared" si="89"/>
        <v>8</v>
      </c>
      <c r="AG77" s="195" t="s">
        <v>467</v>
      </c>
      <c r="AH77" s="196">
        <f>SUM(AH75:AH76)</f>
        <v>3</v>
      </c>
      <c r="AI77" s="196">
        <f t="shared" ref="AI77:AJ77" si="90">SUM(AI75:AI76)</f>
        <v>0</v>
      </c>
      <c r="AJ77" s="197">
        <f t="shared" si="90"/>
        <v>3</v>
      </c>
    </row>
    <row r="78" spans="13:36" ht="15.6" x14ac:dyDescent="0.3">
      <c r="M78" s="129"/>
      <c r="N78" s="41"/>
      <c r="O78" s="41"/>
      <c r="P78" s="41"/>
      <c r="Q78" s="41"/>
      <c r="R78" s="42"/>
      <c r="S78" s="42"/>
      <c r="T78" s="42"/>
      <c r="U78" s="42"/>
      <c r="V78" s="42"/>
      <c r="Z78" s="162"/>
      <c r="AA78" s="162"/>
      <c r="AB78" s="162"/>
      <c r="AC78" s="162"/>
      <c r="AG78" s="12"/>
      <c r="AH78" s="12"/>
      <c r="AI78" s="12"/>
      <c r="AJ78" s="12"/>
    </row>
    <row r="79" spans="13:36" ht="15" thickBot="1" x14ac:dyDescent="0.35">
      <c r="Z79" s="162"/>
      <c r="AA79" s="162"/>
      <c r="AB79" s="162"/>
      <c r="AC79" s="162"/>
      <c r="AG79" s="12"/>
      <c r="AH79" s="12"/>
      <c r="AI79" s="12"/>
      <c r="AJ79" s="12"/>
    </row>
    <row r="80" spans="13:36" ht="16.2" thickBot="1" x14ac:dyDescent="0.35">
      <c r="M80" s="238" t="s">
        <v>487</v>
      </c>
      <c r="N80" s="239"/>
      <c r="O80" s="239"/>
      <c r="P80" s="239"/>
      <c r="Q80" s="239"/>
      <c r="R80" s="239"/>
      <c r="S80" s="239"/>
      <c r="T80" s="239"/>
      <c r="U80" s="239"/>
      <c r="V80" s="240"/>
      <c r="Z80" s="271" t="s">
        <v>502</v>
      </c>
      <c r="AA80" s="272"/>
      <c r="AB80" s="272"/>
      <c r="AC80" s="273"/>
      <c r="AG80" s="289" t="s">
        <v>518</v>
      </c>
      <c r="AH80" s="290"/>
      <c r="AI80" s="290"/>
      <c r="AJ80" s="291"/>
    </row>
    <row r="81" spans="13:36" ht="16.2" thickBot="1" x14ac:dyDescent="0.35">
      <c r="M81" s="124" t="s">
        <v>0</v>
      </c>
      <c r="N81" s="125" t="s">
        <v>11</v>
      </c>
      <c r="O81" s="125" t="s">
        <v>12</v>
      </c>
      <c r="P81" s="125" t="s">
        <v>13</v>
      </c>
      <c r="Q81" s="125" t="s">
        <v>14</v>
      </c>
      <c r="R81" s="125" t="s">
        <v>1</v>
      </c>
      <c r="S81" s="125" t="s">
        <v>2</v>
      </c>
      <c r="T81" s="125" t="s">
        <v>3</v>
      </c>
      <c r="U81" s="125" t="s">
        <v>4</v>
      </c>
      <c r="V81" s="125" t="s">
        <v>5</v>
      </c>
      <c r="Z81" s="135"/>
      <c r="AA81" s="46" t="s">
        <v>468</v>
      </c>
      <c r="AB81" s="46" t="s">
        <v>469</v>
      </c>
      <c r="AC81" s="157" t="s">
        <v>467</v>
      </c>
      <c r="AG81" s="135"/>
      <c r="AH81" s="64" t="s">
        <v>468</v>
      </c>
      <c r="AI81" s="64" t="s">
        <v>469</v>
      </c>
      <c r="AJ81" s="193" t="s">
        <v>467</v>
      </c>
    </row>
    <row r="82" spans="13:36" ht="16.2" thickBot="1" x14ac:dyDescent="0.35">
      <c r="M82" s="126" t="s">
        <v>233</v>
      </c>
      <c r="N82" s="127">
        <v>3</v>
      </c>
      <c r="O82" s="127">
        <v>0</v>
      </c>
      <c r="P82" s="127">
        <v>0</v>
      </c>
      <c r="Q82" s="127">
        <v>0</v>
      </c>
      <c r="R82" s="128">
        <f>N82/(N82+Q82)</f>
        <v>1</v>
      </c>
      <c r="S82" s="128" t="e">
        <f>O82/(O82+P82)</f>
        <v>#DIV/0!</v>
      </c>
      <c r="T82" s="128">
        <f>N82/(N82+P82)</f>
        <v>1</v>
      </c>
      <c r="U82" s="128" t="e">
        <f>O82/(O82+Q82)</f>
        <v>#DIV/0!</v>
      </c>
      <c r="V82" s="128">
        <f>(N82+O82)/(N82+O82+P82+Q82)</f>
        <v>1</v>
      </c>
      <c r="Z82" s="158" t="s">
        <v>465</v>
      </c>
      <c r="AA82" s="46">
        <v>3</v>
      </c>
      <c r="AB82" s="46">
        <v>1</v>
      </c>
      <c r="AC82" s="157">
        <f>SUM(AA82:AB82)</f>
        <v>4</v>
      </c>
      <c r="AG82" s="194" t="s">
        <v>465</v>
      </c>
      <c r="AH82" s="64">
        <v>1</v>
      </c>
      <c r="AI82" s="64">
        <v>0</v>
      </c>
      <c r="AJ82" s="193">
        <f>SUM(AH82:AI82)</f>
        <v>1</v>
      </c>
    </row>
    <row r="83" spans="13:36" ht="16.2" thickBot="1" x14ac:dyDescent="0.35">
      <c r="M83" s="126" t="s">
        <v>8</v>
      </c>
      <c r="N83" s="127">
        <v>3</v>
      </c>
      <c r="O83" s="127">
        <v>0</v>
      </c>
      <c r="P83" s="127">
        <v>0</v>
      </c>
      <c r="Q83" s="127">
        <v>0</v>
      </c>
      <c r="R83" s="128">
        <f t="shared" ref="R83:R84" si="91">N83/(N83+Q83)</f>
        <v>1</v>
      </c>
      <c r="S83" s="128" t="e">
        <f t="shared" ref="S83:S84" si="92">O83/(O83+P83)</f>
        <v>#DIV/0!</v>
      </c>
      <c r="T83" s="128">
        <f t="shared" ref="T83:T84" si="93">N83/(N83+P83)</f>
        <v>1</v>
      </c>
      <c r="U83" s="128" t="e">
        <f t="shared" ref="U83:U84" si="94">O83/(O83+Q83)</f>
        <v>#DIV/0!</v>
      </c>
      <c r="V83" s="128">
        <f t="shared" ref="V83:V84" si="95">(N83+O83)/(N83+O83+P83+Q83)</f>
        <v>1</v>
      </c>
      <c r="Z83" s="158" t="s">
        <v>466</v>
      </c>
      <c r="AA83" s="46">
        <v>2</v>
      </c>
      <c r="AB83" s="46">
        <v>2</v>
      </c>
      <c r="AC83" s="157">
        <f t="shared" ref="AC83:AC84" si="96">SUM(AA83:AB83)</f>
        <v>4</v>
      </c>
      <c r="AG83" s="194" t="s">
        <v>466</v>
      </c>
      <c r="AH83" s="64">
        <v>1</v>
      </c>
      <c r="AI83" s="64">
        <v>1</v>
      </c>
      <c r="AJ83" s="193">
        <f t="shared" ref="AJ83:AJ84" si="97">SUM(AH83:AI83)</f>
        <v>2</v>
      </c>
    </row>
    <row r="84" spans="13:36" ht="16.2" thickBot="1" x14ac:dyDescent="0.35">
      <c r="M84" s="126" t="s">
        <v>280</v>
      </c>
      <c r="N84" s="127">
        <v>3</v>
      </c>
      <c r="O84" s="127">
        <v>0</v>
      </c>
      <c r="P84" s="127">
        <v>0</v>
      </c>
      <c r="Q84" s="127">
        <v>0</v>
      </c>
      <c r="R84" s="128">
        <f t="shared" si="91"/>
        <v>1</v>
      </c>
      <c r="S84" s="128" t="e">
        <f t="shared" si="92"/>
        <v>#DIV/0!</v>
      </c>
      <c r="T84" s="128">
        <f t="shared" si="93"/>
        <v>1</v>
      </c>
      <c r="U84" s="128" t="e">
        <f t="shared" si="94"/>
        <v>#DIV/0!</v>
      </c>
      <c r="V84" s="128">
        <f t="shared" si="95"/>
        <v>1</v>
      </c>
      <c r="Z84" s="159" t="s">
        <v>467</v>
      </c>
      <c r="AA84" s="160">
        <f>SUM(AA82:AA83)</f>
        <v>5</v>
      </c>
      <c r="AB84" s="160">
        <f t="shared" ref="AB84" si="98">SUM(AB82:AB83)</f>
        <v>3</v>
      </c>
      <c r="AC84" s="161">
        <f t="shared" si="96"/>
        <v>8</v>
      </c>
      <c r="AG84" s="195" t="s">
        <v>467</v>
      </c>
      <c r="AH84" s="196">
        <f>SUM(AH82:AH83)</f>
        <v>2</v>
      </c>
      <c r="AI84" s="196">
        <f t="shared" ref="AI84" si="99">SUM(AI82:AI83)</f>
        <v>1</v>
      </c>
      <c r="AJ84" s="197">
        <f t="shared" si="97"/>
        <v>3</v>
      </c>
    </row>
    <row r="85" spans="13:36" ht="15.6" x14ac:dyDescent="0.3">
      <c r="M85" s="129"/>
      <c r="N85" s="41"/>
      <c r="O85" s="41"/>
      <c r="P85" s="41"/>
      <c r="Q85" s="41"/>
      <c r="R85" s="42"/>
      <c r="S85" s="42"/>
      <c r="T85" s="42"/>
      <c r="U85" s="42"/>
      <c r="V85" s="42"/>
    </row>
    <row r="86" spans="13:36" ht="16.2" thickBot="1" x14ac:dyDescent="0.35">
      <c r="M86" s="129"/>
      <c r="N86" s="41"/>
      <c r="O86" s="41"/>
      <c r="P86" s="41"/>
      <c r="Q86" s="41"/>
      <c r="R86" s="42"/>
      <c r="S86" s="42"/>
      <c r="T86" s="42"/>
      <c r="U86" s="42"/>
      <c r="V86" s="42"/>
    </row>
    <row r="87" spans="13:36" ht="15.6" x14ac:dyDescent="0.3">
      <c r="Z87" s="274" t="s">
        <v>503</v>
      </c>
      <c r="AA87" s="275"/>
      <c r="AB87" s="275"/>
      <c r="AC87" s="276"/>
      <c r="AG87" s="292" t="s">
        <v>519</v>
      </c>
      <c r="AH87" s="293"/>
      <c r="AI87" s="293"/>
      <c r="AJ87" s="294"/>
    </row>
    <row r="88" spans="13:36" ht="15.6" x14ac:dyDescent="0.3">
      <c r="M88" s="133"/>
      <c r="N88" s="134"/>
      <c r="O88" s="134"/>
      <c r="P88" s="134"/>
      <c r="Q88" s="134"/>
      <c r="R88" s="134"/>
      <c r="S88" s="134"/>
      <c r="T88" s="134"/>
      <c r="U88" s="134"/>
      <c r="V88" s="134"/>
      <c r="Z88" s="135"/>
      <c r="AA88" s="49" t="s">
        <v>468</v>
      </c>
      <c r="AB88" s="49" t="s">
        <v>469</v>
      </c>
      <c r="AC88" s="163" t="s">
        <v>467</v>
      </c>
      <c r="AG88" s="135"/>
      <c r="AH88" s="66" t="s">
        <v>468</v>
      </c>
      <c r="AI88" s="66" t="s">
        <v>469</v>
      </c>
      <c r="AJ88" s="198" t="s">
        <v>467</v>
      </c>
    </row>
    <row r="89" spans="13:36" ht="15.6" x14ac:dyDescent="0.3">
      <c r="M89" s="40"/>
      <c r="N89" s="40"/>
      <c r="O89" s="40"/>
      <c r="P89" s="40"/>
      <c r="Q89" s="40"/>
      <c r="R89" s="40"/>
      <c r="S89" s="40"/>
      <c r="T89" s="40"/>
      <c r="U89" s="40"/>
      <c r="V89" s="40"/>
      <c r="Z89" s="164" t="s">
        <v>465</v>
      </c>
      <c r="AA89" s="49">
        <v>0</v>
      </c>
      <c r="AB89" s="49">
        <v>0</v>
      </c>
      <c r="AC89" s="163">
        <f>SUM(AA89:AB89)</f>
        <v>0</v>
      </c>
      <c r="AG89" s="199" t="s">
        <v>465</v>
      </c>
      <c r="AH89" s="66">
        <v>0</v>
      </c>
      <c r="AI89" s="66">
        <v>1</v>
      </c>
      <c r="AJ89" s="198">
        <f>SUM(AH89:AI89)</f>
        <v>1</v>
      </c>
    </row>
    <row r="90" spans="13:36" ht="15.6" x14ac:dyDescent="0.3">
      <c r="M90" s="129"/>
      <c r="N90" s="41"/>
      <c r="O90" s="41"/>
      <c r="P90" s="41"/>
      <c r="Q90" s="41"/>
      <c r="R90" s="42"/>
      <c r="S90" s="42"/>
      <c r="T90" s="42"/>
      <c r="U90" s="42"/>
      <c r="V90" s="42"/>
      <c r="Z90" s="164" t="s">
        <v>466</v>
      </c>
      <c r="AA90" s="49">
        <v>0</v>
      </c>
      <c r="AB90" s="49">
        <v>2</v>
      </c>
      <c r="AC90" s="163">
        <f t="shared" ref="AC90:AC91" si="100">SUM(AA90:AB90)</f>
        <v>2</v>
      </c>
      <c r="AG90" s="199" t="s">
        <v>466</v>
      </c>
      <c r="AH90" s="66">
        <v>0</v>
      </c>
      <c r="AI90" s="66">
        <v>0</v>
      </c>
      <c r="AJ90" s="198">
        <f t="shared" ref="AJ90:AJ91" si="101">SUM(AH90:AI90)</f>
        <v>0</v>
      </c>
    </row>
    <row r="91" spans="13:36" ht="16.2" thickBot="1" x14ac:dyDescent="0.35">
      <c r="M91" s="129"/>
      <c r="N91" s="41"/>
      <c r="O91" s="41"/>
      <c r="P91" s="41"/>
      <c r="Q91" s="41"/>
      <c r="R91" s="42"/>
      <c r="S91" s="42"/>
      <c r="T91" s="42"/>
      <c r="U91" s="42"/>
      <c r="V91" s="42"/>
      <c r="Z91" s="165" t="s">
        <v>467</v>
      </c>
      <c r="AA91" s="166">
        <f>SUM(AA89:AA90)</f>
        <v>0</v>
      </c>
      <c r="AB91" s="166">
        <f>SUM(AB89:AB90)</f>
        <v>2</v>
      </c>
      <c r="AC91" s="167">
        <f t="shared" si="100"/>
        <v>2</v>
      </c>
      <c r="AG91" s="200" t="s">
        <v>467</v>
      </c>
      <c r="AH91" s="201">
        <f>SUM(AH89:AH90)</f>
        <v>0</v>
      </c>
      <c r="AI91" s="201">
        <f>SUM(AI89:AI90)</f>
        <v>1</v>
      </c>
      <c r="AJ91" s="202">
        <f t="shared" si="101"/>
        <v>1</v>
      </c>
    </row>
    <row r="92" spans="13:36" ht="15.6" x14ac:dyDescent="0.3">
      <c r="M92" s="129"/>
      <c r="N92" s="41"/>
      <c r="O92" s="41"/>
      <c r="P92" s="41"/>
      <c r="Q92" s="41"/>
      <c r="R92" s="42"/>
      <c r="S92" s="42"/>
      <c r="T92" s="42"/>
      <c r="U92" s="42"/>
      <c r="V92" s="42"/>
      <c r="Z92" s="168"/>
      <c r="AA92" s="168"/>
      <c r="AB92" s="168"/>
      <c r="AC92" s="168"/>
      <c r="AG92" s="203"/>
      <c r="AH92" s="203"/>
      <c r="AI92" s="203"/>
      <c r="AJ92" s="203"/>
    </row>
    <row r="93" spans="13:36" ht="15" thickBot="1" x14ac:dyDescent="0.35">
      <c r="Z93" s="168"/>
      <c r="AA93" s="168"/>
      <c r="AB93" s="168"/>
      <c r="AC93" s="168"/>
      <c r="AG93" s="203"/>
      <c r="AH93" s="203"/>
      <c r="AI93" s="203"/>
      <c r="AJ93" s="203"/>
    </row>
    <row r="94" spans="13:36" ht="15.6" x14ac:dyDescent="0.3">
      <c r="M94" s="133"/>
      <c r="N94" s="134"/>
      <c r="O94" s="134"/>
      <c r="P94" s="134"/>
      <c r="Q94" s="134"/>
      <c r="R94" s="134"/>
      <c r="S94" s="134"/>
      <c r="T94" s="134"/>
      <c r="U94" s="134"/>
      <c r="V94" s="134"/>
      <c r="Z94" s="274" t="s">
        <v>504</v>
      </c>
      <c r="AA94" s="275"/>
      <c r="AB94" s="275"/>
      <c r="AC94" s="276"/>
      <c r="AG94" s="292" t="s">
        <v>520</v>
      </c>
      <c r="AH94" s="293"/>
      <c r="AI94" s="293"/>
      <c r="AJ94" s="294"/>
    </row>
    <row r="95" spans="13:36" ht="15.6" x14ac:dyDescent="0.3">
      <c r="M95" s="40"/>
      <c r="N95" s="40"/>
      <c r="O95" s="40"/>
      <c r="P95" s="40"/>
      <c r="Q95" s="40"/>
      <c r="R95" s="40"/>
      <c r="S95" s="40"/>
      <c r="T95" s="40"/>
      <c r="U95" s="40"/>
      <c r="V95" s="40"/>
      <c r="Z95" s="135"/>
      <c r="AA95" s="49" t="s">
        <v>468</v>
      </c>
      <c r="AB95" s="49" t="s">
        <v>469</v>
      </c>
      <c r="AC95" s="163" t="s">
        <v>467</v>
      </c>
      <c r="AG95" s="135"/>
      <c r="AH95" s="66" t="s">
        <v>468</v>
      </c>
      <c r="AI95" s="66" t="s">
        <v>469</v>
      </c>
      <c r="AJ95" s="198" t="s">
        <v>467</v>
      </c>
    </row>
    <row r="96" spans="13:36" ht="15.6" x14ac:dyDescent="0.3">
      <c r="M96" s="129"/>
      <c r="N96" s="41"/>
      <c r="O96" s="41"/>
      <c r="P96" s="41"/>
      <c r="Q96" s="41"/>
      <c r="R96" s="42"/>
      <c r="S96" s="42"/>
      <c r="T96" s="42"/>
      <c r="U96" s="42"/>
      <c r="V96" s="42"/>
      <c r="Z96" s="164" t="s">
        <v>465</v>
      </c>
      <c r="AA96" s="49">
        <v>0</v>
      </c>
      <c r="AB96" s="49">
        <v>0</v>
      </c>
      <c r="AC96" s="163">
        <f>SUM(AA96:AB96)</f>
        <v>0</v>
      </c>
      <c r="AG96" s="199" t="s">
        <v>465</v>
      </c>
      <c r="AH96" s="66">
        <v>0</v>
      </c>
      <c r="AI96" s="66">
        <v>1</v>
      </c>
      <c r="AJ96" s="198">
        <f>SUM(AH96:AI96)</f>
        <v>1</v>
      </c>
    </row>
    <row r="97" spans="13:36" ht="15.6" x14ac:dyDescent="0.3">
      <c r="M97" s="129"/>
      <c r="N97" s="41"/>
      <c r="O97" s="41"/>
      <c r="P97" s="41"/>
      <c r="Q97" s="41"/>
      <c r="R97" s="42"/>
      <c r="S97" s="42"/>
      <c r="T97" s="42"/>
      <c r="U97" s="42"/>
      <c r="V97" s="42"/>
      <c r="Z97" s="164" t="s">
        <v>466</v>
      </c>
      <c r="AA97" s="49">
        <v>0</v>
      </c>
      <c r="AB97" s="49">
        <v>2</v>
      </c>
      <c r="AC97" s="163">
        <f t="shared" ref="AC97" si="102">SUM(AA97:AB97)</f>
        <v>2</v>
      </c>
      <c r="AG97" s="199" t="s">
        <v>466</v>
      </c>
      <c r="AH97" s="66">
        <v>0</v>
      </c>
      <c r="AI97" s="66">
        <v>0</v>
      </c>
      <c r="AJ97" s="198">
        <f t="shared" ref="AJ97" si="103">SUM(AH97:AI97)</f>
        <v>0</v>
      </c>
    </row>
    <row r="98" spans="13:36" ht="16.2" thickBot="1" x14ac:dyDescent="0.35">
      <c r="M98" s="129"/>
      <c r="N98" s="41"/>
      <c r="O98" s="41"/>
      <c r="P98" s="41"/>
      <c r="Q98" s="41"/>
      <c r="R98" s="42"/>
      <c r="S98" s="42"/>
      <c r="T98" s="42"/>
      <c r="U98" s="42"/>
      <c r="V98" s="42"/>
      <c r="Z98" s="165" t="s">
        <v>467</v>
      </c>
      <c r="AA98" s="166">
        <f>SUM(AA96:AA97)</f>
        <v>0</v>
      </c>
      <c r="AB98" s="166">
        <f t="shared" ref="AB98:AC98" si="104">SUM(AB96:AB97)</f>
        <v>2</v>
      </c>
      <c r="AC98" s="167">
        <f t="shared" si="104"/>
        <v>2</v>
      </c>
      <c r="AG98" s="200" t="s">
        <v>467</v>
      </c>
      <c r="AH98" s="201">
        <f>SUM(AH96:AH97)</f>
        <v>0</v>
      </c>
      <c r="AI98" s="201">
        <f t="shared" ref="AI98:AJ98" si="105">SUM(AI96:AI97)</f>
        <v>1</v>
      </c>
      <c r="AJ98" s="202">
        <f t="shared" si="105"/>
        <v>1</v>
      </c>
    </row>
    <row r="99" spans="13:36" x14ac:dyDescent="0.3">
      <c r="Z99" s="168"/>
      <c r="AA99" s="168"/>
      <c r="AB99" s="168"/>
      <c r="AC99" s="168"/>
      <c r="AG99" s="203"/>
      <c r="AH99" s="203"/>
      <c r="AI99" s="203"/>
      <c r="AJ99" s="203"/>
    </row>
    <row r="100" spans="13:36" ht="15" thickBot="1" x14ac:dyDescent="0.35">
      <c r="Z100" s="168"/>
      <c r="AA100" s="168"/>
      <c r="AB100" s="168"/>
      <c r="AC100" s="168"/>
      <c r="AG100" s="203"/>
      <c r="AH100" s="203"/>
      <c r="AI100" s="203"/>
      <c r="AJ100" s="203"/>
    </row>
    <row r="101" spans="13:36" ht="15.6" x14ac:dyDescent="0.3">
      <c r="Z101" s="274" t="s">
        <v>505</v>
      </c>
      <c r="AA101" s="275"/>
      <c r="AB101" s="275"/>
      <c r="AC101" s="276"/>
      <c r="AG101" s="292" t="s">
        <v>521</v>
      </c>
      <c r="AH101" s="293"/>
      <c r="AI101" s="293"/>
      <c r="AJ101" s="294"/>
    </row>
    <row r="102" spans="13:36" ht="15.6" x14ac:dyDescent="0.3">
      <c r="M102" s="133"/>
      <c r="N102" s="134"/>
      <c r="O102" s="134"/>
      <c r="P102" s="134"/>
      <c r="Q102" s="134"/>
      <c r="R102" s="134"/>
      <c r="S102" s="134"/>
      <c r="T102" s="134"/>
      <c r="U102" s="134"/>
      <c r="V102" s="134"/>
      <c r="Z102" s="135"/>
      <c r="AA102" s="49" t="s">
        <v>468</v>
      </c>
      <c r="AB102" s="49" t="s">
        <v>469</v>
      </c>
      <c r="AC102" s="163" t="s">
        <v>467</v>
      </c>
      <c r="AG102" s="135"/>
      <c r="AH102" s="66" t="s">
        <v>468</v>
      </c>
      <c r="AI102" s="66" t="s">
        <v>469</v>
      </c>
      <c r="AJ102" s="198" t="s">
        <v>467</v>
      </c>
    </row>
    <row r="103" spans="13:36" ht="15.6" x14ac:dyDescent="0.3"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Z103" s="164" t="s">
        <v>465</v>
      </c>
      <c r="AA103" s="49">
        <v>0</v>
      </c>
      <c r="AB103" s="49">
        <v>0</v>
      </c>
      <c r="AC103" s="163">
        <f>SUM(AA103:AB103)</f>
        <v>0</v>
      </c>
      <c r="AG103" s="199" t="s">
        <v>465</v>
      </c>
      <c r="AH103" s="66">
        <v>1</v>
      </c>
      <c r="AI103" s="66">
        <v>0</v>
      </c>
      <c r="AJ103" s="198">
        <f>SUM(AH103:AI103)</f>
        <v>1</v>
      </c>
    </row>
    <row r="104" spans="13:36" ht="15.6" x14ac:dyDescent="0.3">
      <c r="M104" s="129"/>
      <c r="N104" s="41"/>
      <c r="O104" s="41"/>
      <c r="P104" s="41"/>
      <c r="Q104" s="41"/>
      <c r="R104" s="42"/>
      <c r="S104" s="42"/>
      <c r="T104" s="42"/>
      <c r="U104" s="42"/>
      <c r="V104" s="42"/>
      <c r="Z104" s="164" t="s">
        <v>466</v>
      </c>
      <c r="AA104" s="49">
        <v>1</v>
      </c>
      <c r="AB104" s="49">
        <v>1</v>
      </c>
      <c r="AC104" s="163">
        <f t="shared" ref="AC104:AC105" si="106">SUM(AA104:AB104)</f>
        <v>2</v>
      </c>
      <c r="AG104" s="199" t="s">
        <v>466</v>
      </c>
      <c r="AH104" s="66">
        <v>0</v>
      </c>
      <c r="AI104" s="66">
        <v>0</v>
      </c>
      <c r="AJ104" s="198">
        <f t="shared" ref="AJ104:AJ105" si="107">SUM(AH104:AI104)</f>
        <v>0</v>
      </c>
    </row>
    <row r="105" spans="13:36" ht="16.2" thickBot="1" x14ac:dyDescent="0.35">
      <c r="M105" s="129"/>
      <c r="N105" s="41"/>
      <c r="O105" s="41"/>
      <c r="P105" s="41"/>
      <c r="Q105" s="41"/>
      <c r="R105" s="42"/>
      <c r="S105" s="42"/>
      <c r="T105" s="42"/>
      <c r="U105" s="42"/>
      <c r="V105" s="42"/>
      <c r="Z105" s="165" t="s">
        <v>467</v>
      </c>
      <c r="AA105" s="166">
        <f>SUM(AA103:AA104)</f>
        <v>1</v>
      </c>
      <c r="AB105" s="166">
        <f t="shared" ref="AB105" si="108">SUM(AB103:AB104)</f>
        <v>1</v>
      </c>
      <c r="AC105" s="167">
        <f t="shared" si="106"/>
        <v>2</v>
      </c>
      <c r="AG105" s="200" t="s">
        <v>467</v>
      </c>
      <c r="AH105" s="201">
        <f>SUM(AH103:AH104)</f>
        <v>1</v>
      </c>
      <c r="AI105" s="201">
        <f t="shared" ref="AI105" si="109">SUM(AI103:AI104)</f>
        <v>0</v>
      </c>
      <c r="AJ105" s="202">
        <f t="shared" si="107"/>
        <v>1</v>
      </c>
    </row>
    <row r="106" spans="13:36" ht="15.6" x14ac:dyDescent="0.3">
      <c r="M106" s="129"/>
      <c r="N106" s="41"/>
      <c r="O106" s="41"/>
      <c r="P106" s="41"/>
      <c r="Q106" s="41"/>
      <c r="R106" s="42"/>
      <c r="S106" s="42"/>
      <c r="T106" s="42"/>
      <c r="U106" s="42"/>
      <c r="V106" s="42"/>
    </row>
    <row r="107" spans="13:36" ht="15" thickBot="1" x14ac:dyDescent="0.35"/>
    <row r="108" spans="13:36" ht="15.6" x14ac:dyDescent="0.3">
      <c r="M108" s="133"/>
      <c r="N108" s="134"/>
      <c r="O108" s="134"/>
      <c r="P108" s="134"/>
      <c r="Q108" s="134"/>
      <c r="R108" s="134"/>
      <c r="S108" s="134"/>
      <c r="T108" s="134"/>
      <c r="U108" s="134"/>
      <c r="V108" s="134"/>
      <c r="Z108" s="277" t="s">
        <v>506</v>
      </c>
      <c r="AA108" s="278"/>
      <c r="AB108" s="278"/>
      <c r="AC108" s="279"/>
      <c r="AG108" s="295" t="s">
        <v>522</v>
      </c>
      <c r="AH108" s="296"/>
      <c r="AI108" s="296"/>
      <c r="AJ108" s="297"/>
    </row>
    <row r="109" spans="13:36" ht="15.6" x14ac:dyDescent="0.3"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Z109" s="135"/>
      <c r="AA109" s="52" t="s">
        <v>468</v>
      </c>
      <c r="AB109" s="52" t="s">
        <v>469</v>
      </c>
      <c r="AC109" s="169" t="s">
        <v>467</v>
      </c>
      <c r="AG109" s="135"/>
      <c r="AH109" s="69" t="s">
        <v>468</v>
      </c>
      <c r="AI109" s="69" t="s">
        <v>469</v>
      </c>
      <c r="AJ109" s="204" t="s">
        <v>467</v>
      </c>
    </row>
    <row r="110" spans="13:36" ht="15.6" x14ac:dyDescent="0.3">
      <c r="M110" s="129"/>
      <c r="N110" s="41"/>
      <c r="O110" s="41"/>
      <c r="P110" s="41"/>
      <c r="Q110" s="41"/>
      <c r="R110" s="42"/>
      <c r="S110" s="42"/>
      <c r="T110" s="42"/>
      <c r="U110" s="42"/>
      <c r="V110" s="42"/>
      <c r="Z110" s="170" t="s">
        <v>465</v>
      </c>
      <c r="AA110" s="52">
        <v>2</v>
      </c>
      <c r="AB110" s="52">
        <v>0</v>
      </c>
      <c r="AC110" s="169">
        <f>SUM(AA110:AB110)</f>
        <v>2</v>
      </c>
      <c r="AG110" s="205" t="s">
        <v>465</v>
      </c>
      <c r="AH110" s="69">
        <v>3</v>
      </c>
      <c r="AI110" s="69">
        <v>0</v>
      </c>
      <c r="AJ110" s="204">
        <f>SUM(AH110:AI110)</f>
        <v>3</v>
      </c>
    </row>
    <row r="111" spans="13:36" ht="15.6" x14ac:dyDescent="0.3">
      <c r="M111" s="129"/>
      <c r="N111" s="41"/>
      <c r="O111" s="41"/>
      <c r="P111" s="41"/>
      <c r="Q111" s="41"/>
      <c r="R111" s="42"/>
      <c r="S111" s="42"/>
      <c r="T111" s="42"/>
      <c r="U111" s="42"/>
      <c r="V111" s="42"/>
      <c r="Z111" s="170" t="s">
        <v>466</v>
      </c>
      <c r="AA111" s="52">
        <v>0</v>
      </c>
      <c r="AB111" s="52">
        <v>0</v>
      </c>
      <c r="AC111" s="169">
        <f t="shared" ref="AC111:AC112" si="110">SUM(AA111:AB111)</f>
        <v>0</v>
      </c>
      <c r="AG111" s="205" t="s">
        <v>466</v>
      </c>
      <c r="AH111" s="69">
        <v>0</v>
      </c>
      <c r="AI111" s="69">
        <v>0</v>
      </c>
      <c r="AJ111" s="204">
        <f t="shared" ref="AJ111:AJ112" si="111">SUM(AH111:AI111)</f>
        <v>0</v>
      </c>
    </row>
    <row r="112" spans="13:36" ht="16.2" thickBot="1" x14ac:dyDescent="0.35">
      <c r="M112" s="129"/>
      <c r="N112" s="41"/>
      <c r="O112" s="41"/>
      <c r="P112" s="41"/>
      <c r="Q112" s="41"/>
      <c r="R112" s="42"/>
      <c r="S112" s="42"/>
      <c r="T112" s="42"/>
      <c r="U112" s="42"/>
      <c r="V112" s="42"/>
      <c r="Z112" s="171" t="s">
        <v>467</v>
      </c>
      <c r="AA112" s="172">
        <f>SUM(AA110:AA111)</f>
        <v>2</v>
      </c>
      <c r="AB112" s="172">
        <f>SUM(AB110:AB111)</f>
        <v>0</v>
      </c>
      <c r="AC112" s="173">
        <f t="shared" si="110"/>
        <v>2</v>
      </c>
      <c r="AG112" s="206" t="s">
        <v>467</v>
      </c>
      <c r="AH112" s="207">
        <f>SUM(AH110:AH111)</f>
        <v>3</v>
      </c>
      <c r="AI112" s="207">
        <f>SUM(AI110:AI111)</f>
        <v>0</v>
      </c>
      <c r="AJ112" s="208">
        <f t="shared" si="111"/>
        <v>3</v>
      </c>
    </row>
    <row r="113" spans="13:36" x14ac:dyDescent="0.3">
      <c r="Z113" s="174"/>
      <c r="AA113" s="174"/>
      <c r="AB113" s="174"/>
      <c r="AC113" s="174"/>
      <c r="AG113" s="209"/>
      <c r="AH113" s="209"/>
      <c r="AI113" s="209"/>
      <c r="AJ113" s="209"/>
    </row>
    <row r="114" spans="13:36" ht="16.2" thickBot="1" x14ac:dyDescent="0.35">
      <c r="M114" s="133"/>
      <c r="N114" s="134"/>
      <c r="O114" s="134"/>
      <c r="P114" s="134"/>
      <c r="Q114" s="134"/>
      <c r="R114" s="134"/>
      <c r="S114" s="134"/>
      <c r="T114" s="134"/>
      <c r="U114" s="134"/>
      <c r="V114" s="134"/>
      <c r="Z114" s="174"/>
      <c r="AA114" s="174"/>
      <c r="AB114" s="174"/>
      <c r="AC114" s="174"/>
      <c r="AG114" s="209"/>
      <c r="AH114" s="209"/>
      <c r="AI114" s="209"/>
      <c r="AJ114" s="209"/>
    </row>
    <row r="115" spans="13:36" ht="15.6" x14ac:dyDescent="0.3"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Z115" s="277" t="s">
        <v>525</v>
      </c>
      <c r="AA115" s="278"/>
      <c r="AB115" s="278"/>
      <c r="AC115" s="279"/>
      <c r="AG115" s="295" t="s">
        <v>523</v>
      </c>
      <c r="AH115" s="296"/>
      <c r="AI115" s="296"/>
      <c r="AJ115" s="297"/>
    </row>
    <row r="116" spans="13:36" ht="15.6" x14ac:dyDescent="0.3">
      <c r="M116" s="129"/>
      <c r="N116" s="41"/>
      <c r="O116" s="41"/>
      <c r="P116" s="41"/>
      <c r="Q116" s="41"/>
      <c r="R116" s="42"/>
      <c r="S116" s="42"/>
      <c r="T116" s="42"/>
      <c r="U116" s="42"/>
      <c r="V116" s="42"/>
      <c r="Z116" s="135"/>
      <c r="AA116" s="52" t="s">
        <v>468</v>
      </c>
      <c r="AB116" s="52" t="s">
        <v>469</v>
      </c>
      <c r="AC116" s="169" t="s">
        <v>467</v>
      </c>
      <c r="AG116" s="135"/>
      <c r="AH116" s="69" t="s">
        <v>468</v>
      </c>
      <c r="AI116" s="69" t="s">
        <v>469</v>
      </c>
      <c r="AJ116" s="204" t="s">
        <v>467</v>
      </c>
    </row>
    <row r="117" spans="13:36" ht="15.6" x14ac:dyDescent="0.3">
      <c r="M117" s="129"/>
      <c r="N117" s="41"/>
      <c r="O117" s="41"/>
      <c r="P117" s="41"/>
      <c r="Q117" s="41"/>
      <c r="R117" s="42"/>
      <c r="S117" s="42"/>
      <c r="T117" s="42"/>
      <c r="U117" s="42"/>
      <c r="V117" s="42"/>
      <c r="Z117" s="170" t="s">
        <v>465</v>
      </c>
      <c r="AA117" s="52">
        <v>2</v>
      </c>
      <c r="AB117" s="52">
        <v>0</v>
      </c>
      <c r="AC117" s="169">
        <f>SUM(AA117:AB117)</f>
        <v>2</v>
      </c>
      <c r="AG117" s="205" t="s">
        <v>465</v>
      </c>
      <c r="AH117" s="69">
        <v>3</v>
      </c>
      <c r="AI117" s="69">
        <v>0</v>
      </c>
      <c r="AJ117" s="204">
        <f>SUM(AH117:AI117)</f>
        <v>3</v>
      </c>
    </row>
    <row r="118" spans="13:36" ht="15.6" x14ac:dyDescent="0.3">
      <c r="M118" s="129"/>
      <c r="N118" s="41"/>
      <c r="O118" s="41"/>
      <c r="P118" s="41"/>
      <c r="Q118" s="41"/>
      <c r="R118" s="42"/>
      <c r="S118" s="42"/>
      <c r="T118" s="42"/>
      <c r="U118" s="42"/>
      <c r="V118" s="42"/>
      <c r="Z118" s="170" t="s">
        <v>466</v>
      </c>
      <c r="AA118" s="52">
        <v>0</v>
      </c>
      <c r="AB118" s="52">
        <v>0</v>
      </c>
      <c r="AC118" s="169">
        <f t="shared" ref="AC118" si="112">SUM(AA118:AB118)</f>
        <v>0</v>
      </c>
      <c r="AG118" s="205" t="s">
        <v>466</v>
      </c>
      <c r="AH118" s="69">
        <v>0</v>
      </c>
      <c r="AI118" s="69">
        <v>0</v>
      </c>
      <c r="AJ118" s="204">
        <f t="shared" ref="AJ118" si="113">SUM(AH118:AI118)</f>
        <v>0</v>
      </c>
    </row>
    <row r="119" spans="13:36" ht="16.2" thickBot="1" x14ac:dyDescent="0.35">
      <c r="Z119" s="171" t="s">
        <v>467</v>
      </c>
      <c r="AA119" s="172">
        <f>SUM(AA117:AA118)</f>
        <v>2</v>
      </c>
      <c r="AB119" s="172">
        <f t="shared" ref="AB119:AC119" si="114">SUM(AB117:AB118)</f>
        <v>0</v>
      </c>
      <c r="AC119" s="173">
        <f t="shared" si="114"/>
        <v>2</v>
      </c>
      <c r="AG119" s="206" t="s">
        <v>467</v>
      </c>
      <c r="AH119" s="207">
        <f>SUM(AH117:AH118)</f>
        <v>3</v>
      </c>
      <c r="AI119" s="207">
        <f t="shared" ref="AI119:AJ119" si="115">SUM(AI117:AI118)</f>
        <v>0</v>
      </c>
      <c r="AJ119" s="208">
        <f t="shared" si="115"/>
        <v>3</v>
      </c>
    </row>
    <row r="120" spans="13:36" x14ac:dyDescent="0.3">
      <c r="Z120" s="174"/>
      <c r="AA120" s="174"/>
      <c r="AB120" s="174"/>
      <c r="AC120" s="174"/>
      <c r="AG120" s="209"/>
      <c r="AH120" s="209"/>
      <c r="AI120" s="209"/>
      <c r="AJ120" s="209"/>
    </row>
    <row r="121" spans="13:36" ht="15" thickBot="1" x14ac:dyDescent="0.35">
      <c r="Z121" s="174"/>
      <c r="AA121" s="174"/>
      <c r="AB121" s="174"/>
      <c r="AC121" s="174"/>
      <c r="AG121" s="209"/>
      <c r="AH121" s="209"/>
      <c r="AI121" s="209"/>
      <c r="AJ121" s="209"/>
    </row>
    <row r="122" spans="13:36" ht="15.6" x14ac:dyDescent="0.3">
      <c r="M122" s="133"/>
      <c r="N122" s="134"/>
      <c r="O122" s="134"/>
      <c r="P122" s="134"/>
      <c r="Q122" s="134"/>
      <c r="R122" s="134"/>
      <c r="S122" s="134"/>
      <c r="T122" s="134"/>
      <c r="U122" s="134"/>
      <c r="V122" s="134"/>
      <c r="Z122" s="277" t="s">
        <v>524</v>
      </c>
      <c r="AA122" s="278"/>
      <c r="AB122" s="278"/>
      <c r="AC122" s="279"/>
      <c r="AG122" s="295" t="s">
        <v>526</v>
      </c>
      <c r="AH122" s="296"/>
      <c r="AI122" s="296"/>
      <c r="AJ122" s="297"/>
    </row>
    <row r="123" spans="13:36" ht="15.6" x14ac:dyDescent="0.3"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Z123" s="135"/>
      <c r="AA123" s="52" t="s">
        <v>468</v>
      </c>
      <c r="AB123" s="52" t="s">
        <v>469</v>
      </c>
      <c r="AC123" s="169" t="s">
        <v>467</v>
      </c>
      <c r="AG123" s="135"/>
      <c r="AH123" s="69" t="s">
        <v>468</v>
      </c>
      <c r="AI123" s="69" t="s">
        <v>469</v>
      </c>
      <c r="AJ123" s="204" t="s">
        <v>467</v>
      </c>
    </row>
    <row r="124" spans="13:36" ht="15.6" x14ac:dyDescent="0.3">
      <c r="M124" s="129"/>
      <c r="N124" s="41"/>
      <c r="O124" s="41"/>
      <c r="P124" s="41"/>
      <c r="Q124" s="41"/>
      <c r="R124" s="42"/>
      <c r="S124" s="42"/>
      <c r="T124" s="42"/>
      <c r="U124" s="42"/>
      <c r="V124" s="42"/>
      <c r="Z124" s="170" t="s">
        <v>465</v>
      </c>
      <c r="AA124" s="52">
        <v>2</v>
      </c>
      <c r="AB124" s="52">
        <v>0</v>
      </c>
      <c r="AC124" s="169">
        <f>SUM(AA124:AB124)</f>
        <v>2</v>
      </c>
      <c r="AG124" s="205" t="s">
        <v>465</v>
      </c>
      <c r="AH124" s="69">
        <v>3</v>
      </c>
      <c r="AI124" s="69">
        <v>0</v>
      </c>
      <c r="AJ124" s="204">
        <f>SUM(AH124:AI124)</f>
        <v>3</v>
      </c>
    </row>
    <row r="125" spans="13:36" ht="15.6" x14ac:dyDescent="0.3">
      <c r="M125" s="129"/>
      <c r="N125" s="41"/>
      <c r="O125" s="41"/>
      <c r="P125" s="41"/>
      <c r="Q125" s="41"/>
      <c r="R125" s="42"/>
      <c r="S125" s="42"/>
      <c r="T125" s="42"/>
      <c r="U125" s="42"/>
      <c r="V125" s="42"/>
      <c r="Z125" s="170" t="s">
        <v>466</v>
      </c>
      <c r="AA125" s="52">
        <v>0</v>
      </c>
      <c r="AB125" s="52">
        <v>0</v>
      </c>
      <c r="AC125" s="169">
        <f t="shared" ref="AC125:AC126" si="116">SUM(AA125:AB125)</f>
        <v>0</v>
      </c>
      <c r="AG125" s="205" t="s">
        <v>466</v>
      </c>
      <c r="AH125" s="69">
        <v>0</v>
      </c>
      <c r="AI125" s="69">
        <v>0</v>
      </c>
      <c r="AJ125" s="204">
        <f t="shared" ref="AJ125:AJ126" si="117">SUM(AH125:AI125)</f>
        <v>0</v>
      </c>
    </row>
    <row r="126" spans="13:36" ht="16.2" thickBot="1" x14ac:dyDescent="0.35">
      <c r="M126" s="129"/>
      <c r="N126" s="41"/>
      <c r="O126" s="41"/>
      <c r="P126" s="41"/>
      <c r="Q126" s="41"/>
      <c r="R126" s="42"/>
      <c r="S126" s="42"/>
      <c r="T126" s="42"/>
      <c r="U126" s="42"/>
      <c r="V126" s="42"/>
      <c r="Z126" s="171" t="s">
        <v>467</v>
      </c>
      <c r="AA126" s="172">
        <f>SUM(AA124:AA125)</f>
        <v>2</v>
      </c>
      <c r="AB126" s="172">
        <f t="shared" ref="AB126" si="118">SUM(AB124:AB125)</f>
        <v>0</v>
      </c>
      <c r="AC126" s="173">
        <f t="shared" si="116"/>
        <v>2</v>
      </c>
      <c r="AG126" s="206" t="s">
        <v>467</v>
      </c>
      <c r="AH126" s="207">
        <f>SUM(AH124:AH125)</f>
        <v>3</v>
      </c>
      <c r="AI126" s="207">
        <f t="shared" ref="AI126" si="119">SUM(AI124:AI125)</f>
        <v>0</v>
      </c>
      <c r="AJ126" s="208">
        <f t="shared" si="117"/>
        <v>3</v>
      </c>
    </row>
    <row r="128" spans="13:36" ht="15.6" x14ac:dyDescent="0.3">
      <c r="M128" s="133"/>
      <c r="N128" s="134"/>
      <c r="O128" s="134"/>
      <c r="P128" s="134"/>
      <c r="Q128" s="134"/>
      <c r="R128" s="134"/>
      <c r="S128" s="134"/>
      <c r="T128" s="134"/>
      <c r="U128" s="134"/>
      <c r="V128" s="134"/>
    </row>
    <row r="129" spans="13:22" ht="15.6" x14ac:dyDescent="0.3"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spans="13:22" ht="15.6" x14ac:dyDescent="0.3">
      <c r="M130" s="129"/>
      <c r="N130" s="41"/>
      <c r="O130" s="41"/>
      <c r="P130" s="41"/>
      <c r="Q130" s="41"/>
      <c r="R130" s="42"/>
      <c r="S130" s="42"/>
      <c r="T130" s="42"/>
      <c r="U130" s="42"/>
      <c r="V130" s="42"/>
    </row>
    <row r="131" spans="13:22" ht="15.6" x14ac:dyDescent="0.3">
      <c r="M131" s="129"/>
      <c r="N131" s="41"/>
      <c r="O131" s="41"/>
      <c r="P131" s="41"/>
      <c r="Q131" s="41"/>
      <c r="R131" s="42"/>
      <c r="S131" s="42"/>
      <c r="T131" s="42"/>
      <c r="U131" s="42"/>
      <c r="V131" s="42"/>
    </row>
    <row r="132" spans="13:22" ht="15.6" x14ac:dyDescent="0.3">
      <c r="M132" s="129"/>
      <c r="N132" s="41"/>
      <c r="O132" s="41"/>
      <c r="P132" s="41"/>
      <c r="Q132" s="41"/>
      <c r="R132" s="42"/>
      <c r="S132" s="42"/>
      <c r="T132" s="42"/>
      <c r="U132" s="42"/>
      <c r="V132" s="42"/>
    </row>
    <row r="134" spans="13:22" ht="15.6" x14ac:dyDescent="0.3">
      <c r="M134" s="133"/>
      <c r="N134" s="134"/>
      <c r="O134" s="134"/>
      <c r="P134" s="134"/>
      <c r="Q134" s="134"/>
      <c r="R134" s="134"/>
      <c r="S134" s="134"/>
      <c r="T134" s="134"/>
      <c r="U134" s="134"/>
      <c r="V134" s="134"/>
    </row>
    <row r="135" spans="13:22" ht="15.6" x14ac:dyDescent="0.3"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spans="13:22" ht="15.6" x14ac:dyDescent="0.3">
      <c r="M136" s="129"/>
      <c r="N136" s="41"/>
      <c r="O136" s="41"/>
      <c r="P136" s="41"/>
      <c r="Q136" s="41"/>
      <c r="R136" s="42"/>
      <c r="S136" s="42"/>
      <c r="T136" s="42"/>
      <c r="U136" s="42"/>
      <c r="V136" s="42"/>
    </row>
    <row r="137" spans="13:22" ht="15.6" x14ac:dyDescent="0.3">
      <c r="M137" s="129"/>
      <c r="N137" s="41"/>
      <c r="O137" s="41"/>
      <c r="P137" s="41"/>
      <c r="Q137" s="41"/>
      <c r="R137" s="42"/>
      <c r="S137" s="42"/>
      <c r="T137" s="42"/>
      <c r="U137" s="42"/>
      <c r="V137" s="42"/>
    </row>
    <row r="138" spans="13:22" ht="15.6" x14ac:dyDescent="0.3">
      <c r="M138" s="129"/>
      <c r="N138" s="41"/>
      <c r="O138" s="41"/>
      <c r="P138" s="41"/>
      <c r="Q138" s="41"/>
      <c r="R138" s="42"/>
      <c r="S138" s="42"/>
      <c r="T138" s="42"/>
      <c r="U138" s="42"/>
      <c r="V138" s="42"/>
    </row>
    <row r="142" spans="13:22" ht="15.6" x14ac:dyDescent="0.3">
      <c r="M142" s="133"/>
      <c r="N142" s="134"/>
      <c r="O142" s="134"/>
      <c r="P142" s="134"/>
      <c r="Q142" s="134"/>
      <c r="R142" s="134"/>
      <c r="S142" s="134"/>
      <c r="T142" s="134"/>
      <c r="U142" s="134"/>
      <c r="V142" s="134"/>
    </row>
    <row r="143" spans="13:22" ht="15.6" x14ac:dyDescent="0.3"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spans="13:22" ht="15.6" x14ac:dyDescent="0.3">
      <c r="M144" s="129"/>
      <c r="N144" s="41"/>
      <c r="O144" s="41"/>
      <c r="P144" s="41"/>
      <c r="Q144" s="41"/>
      <c r="R144" s="42"/>
      <c r="S144" s="42"/>
      <c r="T144" s="42"/>
      <c r="U144" s="42"/>
      <c r="V144" s="42"/>
    </row>
    <row r="145" spans="13:22" ht="15.6" x14ac:dyDescent="0.3">
      <c r="M145" s="129"/>
      <c r="N145" s="41"/>
      <c r="O145" s="41"/>
      <c r="P145" s="41"/>
      <c r="Q145" s="41"/>
      <c r="R145" s="42"/>
      <c r="S145" s="42"/>
      <c r="T145" s="42"/>
      <c r="U145" s="42"/>
      <c r="V145" s="42"/>
    </row>
    <row r="146" spans="13:22" ht="15.6" x14ac:dyDescent="0.3">
      <c r="M146" s="129"/>
      <c r="N146" s="41"/>
      <c r="O146" s="41"/>
      <c r="P146" s="41"/>
      <c r="Q146" s="41"/>
      <c r="R146" s="42"/>
      <c r="S146" s="42"/>
      <c r="T146" s="42"/>
      <c r="U146" s="42"/>
      <c r="V146" s="42"/>
    </row>
    <row r="148" spans="13:22" ht="15.6" x14ac:dyDescent="0.3">
      <c r="M148" s="133"/>
      <c r="N148" s="134"/>
      <c r="O148" s="134"/>
      <c r="P148" s="134"/>
      <c r="Q148" s="134"/>
      <c r="R148" s="134"/>
      <c r="S148" s="134"/>
      <c r="T148" s="134"/>
      <c r="U148" s="134"/>
      <c r="V148" s="134"/>
    </row>
    <row r="149" spans="13:22" ht="15.6" x14ac:dyDescent="0.3"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spans="13:22" ht="15.6" x14ac:dyDescent="0.3">
      <c r="M150" s="129"/>
      <c r="N150" s="41"/>
      <c r="O150" s="41"/>
      <c r="P150" s="41"/>
      <c r="Q150" s="41"/>
      <c r="R150" s="42"/>
      <c r="S150" s="42"/>
      <c r="T150" s="42"/>
      <c r="U150" s="42"/>
      <c r="V150" s="42"/>
    </row>
    <row r="151" spans="13:22" ht="15.6" x14ac:dyDescent="0.3">
      <c r="M151" s="129"/>
      <c r="N151" s="41"/>
      <c r="O151" s="41"/>
      <c r="P151" s="41"/>
      <c r="Q151" s="41"/>
      <c r="R151" s="42"/>
      <c r="S151" s="42"/>
      <c r="T151" s="42"/>
      <c r="U151" s="42"/>
      <c r="V151" s="42"/>
    </row>
    <row r="152" spans="13:22" ht="15.6" x14ac:dyDescent="0.3">
      <c r="M152" s="129"/>
      <c r="N152" s="41"/>
      <c r="O152" s="41"/>
      <c r="P152" s="41"/>
      <c r="Q152" s="41"/>
      <c r="R152" s="42"/>
      <c r="S152" s="42"/>
      <c r="T152" s="42"/>
      <c r="U152" s="42"/>
      <c r="V152" s="42"/>
    </row>
    <row r="154" spans="13:22" ht="15.6" x14ac:dyDescent="0.3">
      <c r="M154" s="133"/>
      <c r="N154" s="134"/>
      <c r="O154" s="134"/>
      <c r="P154" s="134"/>
      <c r="Q154" s="134"/>
      <c r="R154" s="134"/>
      <c r="S154" s="134"/>
      <c r="T154" s="134"/>
      <c r="U154" s="134"/>
      <c r="V154" s="134"/>
    </row>
    <row r="155" spans="13:22" ht="15.6" x14ac:dyDescent="0.3"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spans="13:22" ht="15.6" x14ac:dyDescent="0.3">
      <c r="M156" s="129"/>
      <c r="N156" s="41"/>
      <c r="O156" s="41"/>
      <c r="P156" s="41"/>
      <c r="Q156" s="41"/>
      <c r="R156" s="42"/>
      <c r="S156" s="42"/>
      <c r="T156" s="42"/>
      <c r="U156" s="42"/>
      <c r="V156" s="42"/>
    </row>
    <row r="157" spans="13:22" ht="15.6" x14ac:dyDescent="0.3">
      <c r="M157" s="129"/>
      <c r="N157" s="41"/>
      <c r="O157" s="41"/>
      <c r="P157" s="41"/>
      <c r="Q157" s="41"/>
      <c r="R157" s="42"/>
      <c r="S157" s="42"/>
      <c r="T157" s="42"/>
      <c r="U157" s="42"/>
      <c r="V157" s="42"/>
    </row>
    <row r="158" spans="13:22" ht="15.6" x14ac:dyDescent="0.3">
      <c r="M158" s="129"/>
      <c r="N158" s="41"/>
      <c r="O158" s="41"/>
      <c r="P158" s="41"/>
      <c r="Q158" s="41"/>
      <c r="R158" s="42"/>
      <c r="S158" s="42"/>
      <c r="T158" s="42"/>
      <c r="U158" s="42"/>
      <c r="V158" s="42"/>
    </row>
    <row r="162" spans="13:22" ht="15.6" x14ac:dyDescent="0.3">
      <c r="M162" s="133"/>
      <c r="N162" s="134"/>
      <c r="O162" s="134"/>
      <c r="P162" s="134"/>
      <c r="Q162" s="134"/>
      <c r="R162" s="134"/>
      <c r="S162" s="134"/>
      <c r="T162" s="134"/>
      <c r="U162" s="134"/>
      <c r="V162" s="134"/>
    </row>
    <row r="163" spans="13:22" ht="15.6" x14ac:dyDescent="0.3"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spans="13:22" ht="15.6" x14ac:dyDescent="0.3">
      <c r="M164" s="129"/>
      <c r="N164" s="41"/>
      <c r="O164" s="41"/>
      <c r="P164" s="41"/>
      <c r="Q164" s="41"/>
      <c r="R164" s="42"/>
      <c r="S164" s="42"/>
      <c r="T164" s="42"/>
      <c r="U164" s="42"/>
      <c r="V164" s="42"/>
    </row>
    <row r="165" spans="13:22" ht="15.6" x14ac:dyDescent="0.3">
      <c r="M165" s="129"/>
      <c r="N165" s="41"/>
      <c r="O165" s="41"/>
      <c r="P165" s="41"/>
      <c r="Q165" s="41"/>
      <c r="R165" s="42"/>
      <c r="S165" s="42"/>
      <c r="T165" s="42"/>
      <c r="U165" s="42"/>
      <c r="V165" s="42"/>
    </row>
    <row r="166" spans="13:22" ht="15.6" x14ac:dyDescent="0.3">
      <c r="M166" s="129"/>
      <c r="N166" s="41"/>
      <c r="O166" s="41"/>
      <c r="P166" s="41"/>
      <c r="Q166" s="41"/>
      <c r="R166" s="42"/>
      <c r="S166" s="42"/>
      <c r="T166" s="42"/>
      <c r="U166" s="42"/>
      <c r="V166" s="42"/>
    </row>
    <row r="168" spans="13:22" ht="15.6" x14ac:dyDescent="0.3">
      <c r="M168" s="133"/>
      <c r="N168" s="134"/>
      <c r="O168" s="134"/>
      <c r="P168" s="134"/>
      <c r="Q168" s="134"/>
      <c r="R168" s="134"/>
      <c r="S168" s="134"/>
      <c r="T168" s="134"/>
      <c r="U168" s="134"/>
      <c r="V168" s="134"/>
    </row>
    <row r="169" spans="13:22" ht="15.6" x14ac:dyDescent="0.3"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spans="13:22" ht="15.6" x14ac:dyDescent="0.3">
      <c r="M170" s="129"/>
      <c r="N170" s="41"/>
      <c r="O170" s="41"/>
      <c r="P170" s="41"/>
      <c r="Q170" s="41"/>
      <c r="R170" s="42"/>
      <c r="S170" s="42"/>
      <c r="T170" s="42"/>
      <c r="U170" s="42"/>
      <c r="V170" s="42"/>
    </row>
    <row r="171" spans="13:22" ht="15.6" x14ac:dyDescent="0.3">
      <c r="M171" s="129"/>
      <c r="N171" s="41"/>
      <c r="O171" s="41"/>
      <c r="P171" s="41"/>
      <c r="Q171" s="41"/>
      <c r="R171" s="42"/>
      <c r="S171" s="42"/>
      <c r="T171" s="42"/>
      <c r="U171" s="42"/>
      <c r="V171" s="42"/>
    </row>
    <row r="172" spans="13:22" ht="15.6" x14ac:dyDescent="0.3">
      <c r="M172" s="129"/>
      <c r="N172" s="41"/>
      <c r="O172" s="41"/>
      <c r="P172" s="41"/>
      <c r="Q172" s="41"/>
      <c r="R172" s="42"/>
      <c r="S172" s="42"/>
      <c r="T172" s="42"/>
      <c r="U172" s="42"/>
      <c r="V172" s="42"/>
    </row>
    <row r="174" spans="13:22" ht="15.6" x14ac:dyDescent="0.3">
      <c r="M174" s="133"/>
      <c r="N174" s="134"/>
      <c r="O174" s="134"/>
      <c r="P174" s="134"/>
      <c r="Q174" s="134"/>
      <c r="R174" s="134"/>
      <c r="S174" s="134"/>
      <c r="T174" s="134"/>
      <c r="U174" s="134"/>
      <c r="V174" s="134"/>
    </row>
    <row r="175" spans="13:22" ht="15.6" x14ac:dyDescent="0.3"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spans="13:22" ht="15.6" x14ac:dyDescent="0.3">
      <c r="M176" s="129"/>
      <c r="N176" s="41"/>
      <c r="O176" s="41"/>
      <c r="P176" s="41"/>
      <c r="Q176" s="41"/>
      <c r="R176" s="42"/>
      <c r="S176" s="42"/>
      <c r="T176" s="42"/>
      <c r="U176" s="42"/>
      <c r="V176" s="42"/>
    </row>
    <row r="177" spans="13:22" ht="15.6" x14ac:dyDescent="0.3">
      <c r="M177" s="129"/>
      <c r="N177" s="41"/>
      <c r="O177" s="41"/>
      <c r="P177" s="41"/>
      <c r="Q177" s="41"/>
      <c r="R177" s="42"/>
      <c r="S177" s="42"/>
      <c r="T177" s="42"/>
      <c r="U177" s="42"/>
      <c r="V177" s="42"/>
    </row>
    <row r="178" spans="13:22" ht="15.6" x14ac:dyDescent="0.3">
      <c r="M178" s="129"/>
      <c r="N178" s="41"/>
      <c r="O178" s="41"/>
      <c r="P178" s="41"/>
      <c r="Q178" s="41"/>
      <c r="R178" s="42"/>
      <c r="S178" s="42"/>
      <c r="T178" s="42"/>
      <c r="U178" s="42"/>
      <c r="V178" s="42"/>
    </row>
    <row r="182" spans="13:22" ht="15.6" x14ac:dyDescent="0.3">
      <c r="M182" s="133"/>
      <c r="N182" s="134"/>
      <c r="O182" s="134"/>
      <c r="P182" s="134"/>
      <c r="Q182" s="134"/>
      <c r="R182" s="134"/>
      <c r="S182" s="134"/>
      <c r="T182" s="134"/>
      <c r="U182" s="134"/>
      <c r="V182" s="134"/>
    </row>
    <row r="183" spans="13:22" ht="15.6" x14ac:dyDescent="0.3"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spans="13:22" ht="15.6" x14ac:dyDescent="0.3">
      <c r="M184" s="129"/>
      <c r="N184" s="41"/>
      <c r="O184" s="41"/>
      <c r="P184" s="41"/>
      <c r="Q184" s="41"/>
      <c r="R184" s="42"/>
      <c r="S184" s="42"/>
      <c r="T184" s="42"/>
      <c r="U184" s="42"/>
      <c r="V184" s="42"/>
    </row>
    <row r="185" spans="13:22" ht="15.6" x14ac:dyDescent="0.3">
      <c r="M185" s="129"/>
      <c r="N185" s="41"/>
      <c r="O185" s="41"/>
      <c r="P185" s="41"/>
      <c r="Q185" s="41"/>
      <c r="R185" s="42"/>
      <c r="S185" s="42"/>
      <c r="T185" s="42"/>
      <c r="U185" s="42"/>
      <c r="V185" s="42"/>
    </row>
    <row r="186" spans="13:22" ht="15.6" x14ac:dyDescent="0.3">
      <c r="M186" s="129"/>
      <c r="N186" s="41"/>
      <c r="O186" s="41"/>
      <c r="P186" s="41"/>
      <c r="Q186" s="41"/>
      <c r="R186" s="42"/>
      <c r="S186" s="42"/>
      <c r="T186" s="42"/>
      <c r="U186" s="42"/>
      <c r="V186" s="42"/>
    </row>
    <row r="188" spans="13:22" ht="15.6" x14ac:dyDescent="0.3">
      <c r="M188" s="133"/>
      <c r="N188" s="134"/>
      <c r="O188" s="134"/>
      <c r="P188" s="134"/>
      <c r="Q188" s="134"/>
      <c r="R188" s="134"/>
      <c r="S188" s="134"/>
      <c r="T188" s="134"/>
      <c r="U188" s="134"/>
      <c r="V188" s="134"/>
    </row>
    <row r="189" spans="13:22" ht="15.6" x14ac:dyDescent="0.3"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spans="13:22" ht="15.6" x14ac:dyDescent="0.3">
      <c r="M190" s="129"/>
      <c r="N190" s="41"/>
      <c r="O190" s="41"/>
      <c r="P190" s="41"/>
      <c r="Q190" s="41"/>
      <c r="R190" s="42"/>
      <c r="S190" s="42"/>
      <c r="T190" s="42"/>
      <c r="U190" s="42"/>
      <c r="V190" s="42"/>
    </row>
    <row r="191" spans="13:22" ht="15.6" x14ac:dyDescent="0.3">
      <c r="M191" s="129"/>
      <c r="N191" s="41"/>
      <c r="O191" s="41"/>
      <c r="P191" s="41"/>
      <c r="Q191" s="41"/>
      <c r="R191" s="42"/>
      <c r="S191" s="42"/>
      <c r="T191" s="42"/>
      <c r="U191" s="42"/>
      <c r="V191" s="42"/>
    </row>
    <row r="192" spans="13:22" ht="15.6" x14ac:dyDescent="0.3">
      <c r="M192" s="129"/>
      <c r="N192" s="41"/>
      <c r="O192" s="41"/>
      <c r="P192" s="41"/>
      <c r="Q192" s="41"/>
      <c r="R192" s="42"/>
      <c r="S192" s="42"/>
      <c r="T192" s="42"/>
      <c r="U192" s="42"/>
      <c r="V192" s="42"/>
    </row>
    <row r="194" spans="13:22" ht="15.6" x14ac:dyDescent="0.3">
      <c r="M194" s="133"/>
      <c r="N194" s="134"/>
      <c r="O194" s="134"/>
      <c r="P194" s="134"/>
      <c r="Q194" s="134"/>
      <c r="R194" s="134"/>
      <c r="S194" s="134"/>
      <c r="T194" s="134"/>
      <c r="U194" s="134"/>
      <c r="V194" s="134"/>
    </row>
    <row r="195" spans="13:22" ht="15.6" x14ac:dyDescent="0.3"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spans="13:22" ht="15.6" x14ac:dyDescent="0.3">
      <c r="M196" s="129"/>
      <c r="N196" s="41"/>
      <c r="O196" s="41"/>
      <c r="P196" s="41"/>
      <c r="Q196" s="41"/>
      <c r="R196" s="42"/>
      <c r="S196" s="42"/>
      <c r="T196" s="42"/>
      <c r="U196" s="42"/>
      <c r="V196" s="42"/>
    </row>
    <row r="197" spans="13:22" ht="15.6" x14ac:dyDescent="0.3">
      <c r="M197" s="129"/>
      <c r="N197" s="41"/>
      <c r="O197" s="41"/>
      <c r="P197" s="41"/>
      <c r="Q197" s="41"/>
      <c r="R197" s="42"/>
      <c r="S197" s="42"/>
      <c r="T197" s="42"/>
      <c r="U197" s="42"/>
      <c r="V197" s="42"/>
    </row>
    <row r="198" spans="13:22" ht="15.6" x14ac:dyDescent="0.3">
      <c r="M198" s="129"/>
      <c r="N198" s="41"/>
      <c r="O198" s="41"/>
      <c r="P198" s="41"/>
      <c r="Q198" s="41"/>
      <c r="R198" s="42"/>
      <c r="S198" s="42"/>
      <c r="T198" s="42"/>
      <c r="U198" s="42"/>
      <c r="V198" s="42"/>
    </row>
    <row r="202" spans="13:22" ht="15.6" x14ac:dyDescent="0.3">
      <c r="M202" s="133"/>
      <c r="N202" s="134"/>
      <c r="O202" s="134"/>
      <c r="P202" s="134"/>
      <c r="Q202" s="134"/>
      <c r="R202" s="134"/>
      <c r="S202" s="134"/>
      <c r="T202" s="134"/>
      <c r="U202" s="134"/>
      <c r="V202" s="134"/>
    </row>
    <row r="203" spans="13:22" ht="15.6" x14ac:dyDescent="0.3">
      <c r="M203" s="40"/>
      <c r="N203" s="40"/>
      <c r="O203" s="40"/>
      <c r="P203" s="40"/>
      <c r="Q203" s="40"/>
      <c r="R203" s="40"/>
      <c r="S203" s="40"/>
      <c r="T203" s="40"/>
      <c r="U203" s="40"/>
      <c r="V203" s="40"/>
    </row>
    <row r="204" spans="13:22" ht="15.6" x14ac:dyDescent="0.3">
      <c r="M204" s="129"/>
      <c r="N204" s="41"/>
      <c r="O204" s="41"/>
      <c r="P204" s="41"/>
      <c r="Q204" s="41"/>
      <c r="R204" s="42"/>
      <c r="S204" s="42"/>
      <c r="T204" s="42"/>
      <c r="U204" s="42"/>
      <c r="V204" s="42"/>
    </row>
    <row r="205" spans="13:22" ht="15.6" x14ac:dyDescent="0.3">
      <c r="M205" s="129"/>
      <c r="N205" s="41"/>
      <c r="O205" s="41"/>
      <c r="P205" s="41"/>
      <c r="Q205" s="41"/>
      <c r="R205" s="42"/>
      <c r="S205" s="42"/>
      <c r="T205" s="42"/>
      <c r="U205" s="42"/>
      <c r="V205" s="42"/>
    </row>
    <row r="206" spans="13:22" ht="15.6" x14ac:dyDescent="0.3">
      <c r="M206" s="129"/>
      <c r="N206" s="41"/>
      <c r="O206" s="41"/>
      <c r="P206" s="41"/>
      <c r="Q206" s="41"/>
      <c r="R206" s="42"/>
      <c r="S206" s="42"/>
      <c r="T206" s="42"/>
      <c r="U206" s="42"/>
      <c r="V206" s="42"/>
    </row>
    <row r="208" spans="13:22" ht="15.6" x14ac:dyDescent="0.3">
      <c r="M208" s="133"/>
      <c r="N208" s="134"/>
      <c r="O208" s="134"/>
      <c r="P208" s="134"/>
      <c r="Q208" s="134"/>
      <c r="R208" s="134"/>
      <c r="S208" s="134"/>
      <c r="T208" s="134"/>
      <c r="U208" s="134"/>
      <c r="V208" s="134"/>
    </row>
    <row r="209" spans="13:22" ht="15.6" x14ac:dyDescent="0.3">
      <c r="M209" s="40"/>
      <c r="N209" s="40"/>
      <c r="O209" s="40"/>
      <c r="P209" s="40"/>
      <c r="Q209" s="40"/>
      <c r="R209" s="40"/>
      <c r="S209" s="40"/>
      <c r="T209" s="40"/>
      <c r="U209" s="40"/>
      <c r="V209" s="40"/>
    </row>
    <row r="210" spans="13:22" ht="15.6" x14ac:dyDescent="0.3">
      <c r="M210" s="129"/>
      <c r="N210" s="41"/>
      <c r="O210" s="41"/>
      <c r="P210" s="41"/>
      <c r="Q210" s="41"/>
      <c r="R210" s="42"/>
      <c r="S210" s="42"/>
      <c r="T210" s="42"/>
      <c r="U210" s="42"/>
      <c r="V210" s="42"/>
    </row>
    <row r="211" spans="13:22" ht="15.6" x14ac:dyDescent="0.3">
      <c r="M211" s="129"/>
      <c r="N211" s="41"/>
      <c r="O211" s="41"/>
      <c r="P211" s="41"/>
      <c r="Q211" s="41"/>
      <c r="R211" s="42"/>
      <c r="S211" s="42"/>
      <c r="T211" s="42"/>
      <c r="U211" s="42"/>
      <c r="V211" s="42"/>
    </row>
    <row r="212" spans="13:22" ht="15.6" x14ac:dyDescent="0.3">
      <c r="M212" s="129"/>
      <c r="N212" s="41"/>
      <c r="O212" s="41"/>
      <c r="P212" s="41"/>
      <c r="Q212" s="41"/>
      <c r="R212" s="42"/>
      <c r="S212" s="42"/>
      <c r="T212" s="42"/>
      <c r="U212" s="42"/>
      <c r="V212" s="42"/>
    </row>
    <row r="214" spans="13:22" ht="15.6" x14ac:dyDescent="0.3">
      <c r="M214" s="133"/>
      <c r="N214" s="134"/>
      <c r="O214" s="134"/>
      <c r="P214" s="134"/>
      <c r="Q214" s="134"/>
      <c r="R214" s="134"/>
      <c r="S214" s="134"/>
      <c r="T214" s="134"/>
      <c r="U214" s="134"/>
      <c r="V214" s="134"/>
    </row>
    <row r="215" spans="13:22" ht="15.6" x14ac:dyDescent="0.3">
      <c r="M215" s="40"/>
      <c r="N215" s="40"/>
      <c r="O215" s="40"/>
      <c r="P215" s="40"/>
      <c r="Q215" s="40"/>
      <c r="R215" s="40"/>
      <c r="S215" s="40"/>
      <c r="T215" s="40"/>
      <c r="U215" s="40"/>
      <c r="V215" s="40"/>
    </row>
    <row r="216" spans="13:22" ht="15.6" x14ac:dyDescent="0.3">
      <c r="M216" s="129"/>
      <c r="N216" s="41"/>
      <c r="O216" s="41"/>
      <c r="P216" s="41"/>
      <c r="Q216" s="41"/>
      <c r="R216" s="42"/>
      <c r="S216" s="42"/>
      <c r="T216" s="42"/>
      <c r="U216" s="42"/>
      <c r="V216" s="42"/>
    </row>
    <row r="217" spans="13:22" ht="15.6" x14ac:dyDescent="0.3">
      <c r="M217" s="129"/>
      <c r="N217" s="41"/>
      <c r="O217" s="41"/>
      <c r="P217" s="41"/>
      <c r="Q217" s="41"/>
      <c r="R217" s="42"/>
      <c r="S217" s="42"/>
      <c r="T217" s="42"/>
      <c r="U217" s="42"/>
      <c r="V217" s="42"/>
    </row>
    <row r="218" spans="13:22" ht="15.6" x14ac:dyDescent="0.3">
      <c r="M218" s="129"/>
      <c r="N218" s="41"/>
      <c r="O218" s="41"/>
      <c r="P218" s="41"/>
      <c r="Q218" s="41"/>
      <c r="R218" s="42"/>
      <c r="S218" s="42"/>
      <c r="T218" s="42"/>
      <c r="U218" s="42"/>
      <c r="V218" s="42"/>
    </row>
    <row r="222" spans="13:22" ht="15.6" x14ac:dyDescent="0.3">
      <c r="M222" s="133"/>
      <c r="N222" s="134"/>
      <c r="O222" s="134"/>
      <c r="P222" s="134"/>
      <c r="Q222" s="134"/>
      <c r="R222" s="134"/>
      <c r="S222" s="134"/>
      <c r="T222" s="134"/>
      <c r="U222" s="134"/>
      <c r="V222" s="134"/>
    </row>
    <row r="223" spans="13:22" ht="15.6" x14ac:dyDescent="0.3">
      <c r="M223" s="40"/>
      <c r="N223" s="40"/>
      <c r="O223" s="40"/>
      <c r="P223" s="40"/>
      <c r="Q223" s="40"/>
      <c r="R223" s="40"/>
      <c r="S223" s="40"/>
      <c r="T223" s="40"/>
      <c r="U223" s="40"/>
      <c r="V223" s="40"/>
    </row>
    <row r="224" spans="13:22" ht="15.6" x14ac:dyDescent="0.3">
      <c r="M224" s="129"/>
      <c r="N224" s="41"/>
      <c r="O224" s="41"/>
      <c r="P224" s="41"/>
      <c r="Q224" s="41"/>
      <c r="R224" s="42"/>
      <c r="S224" s="42"/>
      <c r="T224" s="42"/>
      <c r="U224" s="42"/>
      <c r="V224" s="42"/>
    </row>
    <row r="225" spans="13:22" ht="15.6" x14ac:dyDescent="0.3">
      <c r="M225" s="129"/>
      <c r="N225" s="41"/>
      <c r="O225" s="41"/>
      <c r="P225" s="41"/>
      <c r="Q225" s="41"/>
      <c r="R225" s="42"/>
      <c r="S225" s="42"/>
      <c r="T225" s="42"/>
      <c r="U225" s="42"/>
      <c r="V225" s="42"/>
    </row>
    <row r="226" spans="13:22" ht="15.6" x14ac:dyDescent="0.3">
      <c r="M226" s="129"/>
      <c r="N226" s="41"/>
      <c r="O226" s="41"/>
      <c r="P226" s="41"/>
      <c r="Q226" s="41"/>
      <c r="R226" s="42"/>
      <c r="S226" s="42"/>
      <c r="T226" s="42"/>
      <c r="U226" s="42"/>
      <c r="V226" s="42"/>
    </row>
    <row r="228" spans="13:22" ht="15.6" x14ac:dyDescent="0.3">
      <c r="M228" s="133"/>
      <c r="N228" s="134"/>
      <c r="O228" s="134"/>
      <c r="P228" s="134"/>
      <c r="Q228" s="134"/>
      <c r="R228" s="134"/>
      <c r="S228" s="134"/>
      <c r="T228" s="134"/>
      <c r="U228" s="134"/>
      <c r="V228" s="134"/>
    </row>
    <row r="229" spans="13:22" ht="15.6" x14ac:dyDescent="0.3">
      <c r="M229" s="40"/>
      <c r="N229" s="40"/>
      <c r="O229" s="40"/>
      <c r="P229" s="40"/>
      <c r="Q229" s="40"/>
      <c r="R229" s="40"/>
      <c r="S229" s="40"/>
      <c r="T229" s="40"/>
      <c r="U229" s="40"/>
      <c r="V229" s="40"/>
    </row>
    <row r="230" spans="13:22" ht="15.6" x14ac:dyDescent="0.3">
      <c r="M230" s="129"/>
      <c r="N230" s="41"/>
      <c r="O230" s="41"/>
      <c r="P230" s="41"/>
      <c r="Q230" s="41"/>
      <c r="R230" s="42"/>
      <c r="S230" s="42"/>
      <c r="T230" s="42"/>
      <c r="U230" s="42"/>
      <c r="V230" s="42"/>
    </row>
    <row r="231" spans="13:22" ht="15.6" x14ac:dyDescent="0.3">
      <c r="M231" s="129"/>
      <c r="N231" s="41"/>
      <c r="O231" s="41"/>
      <c r="P231" s="41"/>
      <c r="Q231" s="41"/>
      <c r="R231" s="42"/>
      <c r="S231" s="42"/>
      <c r="T231" s="42"/>
      <c r="U231" s="42"/>
      <c r="V231" s="42"/>
    </row>
    <row r="232" spans="13:22" ht="15.6" x14ac:dyDescent="0.3">
      <c r="M232" s="129"/>
      <c r="N232" s="41"/>
      <c r="O232" s="41"/>
      <c r="P232" s="41"/>
      <c r="Q232" s="41"/>
      <c r="R232" s="42"/>
      <c r="S232" s="42"/>
      <c r="T232" s="42"/>
      <c r="U232" s="42"/>
      <c r="V232" s="42"/>
    </row>
    <row r="234" spans="13:22" ht="15.6" x14ac:dyDescent="0.3">
      <c r="M234" s="133"/>
      <c r="N234" s="134"/>
      <c r="O234" s="134"/>
      <c r="P234" s="134"/>
      <c r="Q234" s="134"/>
      <c r="R234" s="134"/>
      <c r="S234" s="134"/>
      <c r="T234" s="134"/>
      <c r="U234" s="134"/>
      <c r="V234" s="134"/>
    </row>
    <row r="235" spans="13:22" ht="15.6" x14ac:dyDescent="0.3">
      <c r="M235" s="40"/>
      <c r="N235" s="40"/>
      <c r="O235" s="40"/>
      <c r="P235" s="40"/>
      <c r="Q235" s="40"/>
      <c r="R235" s="40"/>
      <c r="S235" s="40"/>
      <c r="T235" s="40"/>
      <c r="U235" s="40"/>
      <c r="V235" s="40"/>
    </row>
    <row r="236" spans="13:22" ht="15.6" x14ac:dyDescent="0.3">
      <c r="M236" s="129"/>
      <c r="N236" s="41"/>
      <c r="O236" s="41"/>
      <c r="P236" s="41"/>
      <c r="Q236" s="41"/>
      <c r="R236" s="42"/>
      <c r="S236" s="42"/>
      <c r="T236" s="42"/>
      <c r="U236" s="42"/>
      <c r="V236" s="42"/>
    </row>
    <row r="237" spans="13:22" ht="15.6" x14ac:dyDescent="0.3">
      <c r="M237" s="129"/>
      <c r="N237" s="41"/>
      <c r="O237" s="41"/>
      <c r="P237" s="41"/>
      <c r="Q237" s="41"/>
      <c r="R237" s="42"/>
      <c r="S237" s="42"/>
      <c r="T237" s="42"/>
      <c r="U237" s="42"/>
      <c r="V237" s="42"/>
    </row>
    <row r="238" spans="13:22" ht="15.6" x14ac:dyDescent="0.3">
      <c r="M238" s="129"/>
      <c r="N238" s="41"/>
      <c r="O238" s="41"/>
      <c r="P238" s="41"/>
      <c r="Q238" s="41"/>
      <c r="R238" s="42"/>
      <c r="S238" s="42"/>
      <c r="T238" s="42"/>
      <c r="U238" s="42"/>
      <c r="V238" s="42"/>
    </row>
  </sheetData>
  <mergeCells count="48">
    <mergeCell ref="AG94:AJ94"/>
    <mergeCell ref="AG101:AJ101"/>
    <mergeCell ref="AG108:AJ108"/>
    <mergeCell ref="AG115:AJ115"/>
    <mergeCell ref="AG122:AJ122"/>
    <mergeCell ref="Z108:AC108"/>
    <mergeCell ref="Z115:AC115"/>
    <mergeCell ref="Z122:AC122"/>
    <mergeCell ref="AG3:AJ3"/>
    <mergeCell ref="AG10:AJ10"/>
    <mergeCell ref="AG17:AJ17"/>
    <mergeCell ref="AG24:AJ24"/>
    <mergeCell ref="AG31:AJ31"/>
    <mergeCell ref="AG38:AJ38"/>
    <mergeCell ref="AG45:AJ45"/>
    <mergeCell ref="AG52:AJ52"/>
    <mergeCell ref="AG59:AJ59"/>
    <mergeCell ref="AG66:AJ66"/>
    <mergeCell ref="AG73:AJ73"/>
    <mergeCell ref="AG80:AJ80"/>
    <mergeCell ref="AG87:AJ87"/>
    <mergeCell ref="Z73:AC73"/>
    <mergeCell ref="Z80:AC80"/>
    <mergeCell ref="Z87:AC87"/>
    <mergeCell ref="Z94:AC94"/>
    <mergeCell ref="Z101:AC101"/>
    <mergeCell ref="Z38:AC38"/>
    <mergeCell ref="Z45:AC45"/>
    <mergeCell ref="Z52:AC52"/>
    <mergeCell ref="Z59:AC59"/>
    <mergeCell ref="Z66:AC66"/>
    <mergeCell ref="Z3:AC3"/>
    <mergeCell ref="Z10:AC10"/>
    <mergeCell ref="Z17:AC17"/>
    <mergeCell ref="Z24:AC24"/>
    <mergeCell ref="Z31:AC31"/>
    <mergeCell ref="M3:V3"/>
    <mergeCell ref="M10:V10"/>
    <mergeCell ref="M17:V17"/>
    <mergeCell ref="M24:V24"/>
    <mergeCell ref="M80:V80"/>
    <mergeCell ref="M31:V31"/>
    <mergeCell ref="M38:V38"/>
    <mergeCell ref="M45:V45"/>
    <mergeCell ref="M52:V52"/>
    <mergeCell ref="M59:V59"/>
    <mergeCell ref="M66:V66"/>
    <mergeCell ref="M73:V7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CDDC-C8BB-42C0-8647-AB7DAC396F48}">
  <dimension ref="A2:AJ126"/>
  <sheetViews>
    <sheetView zoomScale="60" zoomScaleNormal="60" workbookViewId="0">
      <selection activeCell="AF121" sqref="AF121"/>
    </sheetView>
  </sheetViews>
  <sheetFormatPr defaultRowHeight="14.4" x14ac:dyDescent="0.3"/>
  <cols>
    <col min="1" max="1" width="75.6640625" customWidth="1"/>
    <col min="4" max="4" width="100" customWidth="1"/>
    <col min="7" max="7" width="96.21875" customWidth="1"/>
    <col min="10" max="10" width="98.44140625" customWidth="1"/>
    <col min="13" max="13" width="19.33203125" customWidth="1"/>
    <col min="14" max="14" width="17.44140625" customWidth="1"/>
    <col min="15" max="15" width="15.5546875" customWidth="1"/>
    <col min="16" max="16" width="18.109375" customWidth="1"/>
    <col min="17" max="17" width="17.5546875" customWidth="1"/>
    <col min="18" max="18" width="14.109375" customWidth="1"/>
    <col min="19" max="19" width="12.109375" customWidth="1"/>
    <col min="20" max="21" width="9.88671875" customWidth="1"/>
    <col min="22" max="22" width="10.44140625" customWidth="1"/>
    <col min="26" max="26" width="15.33203125" bestFit="1" customWidth="1"/>
    <col min="27" max="27" width="17.44140625" bestFit="1" customWidth="1"/>
    <col min="28" max="28" width="18.109375" bestFit="1" customWidth="1"/>
    <col min="29" max="29" width="33.21875" customWidth="1"/>
    <col min="33" max="33" width="15.6640625" bestFit="1" customWidth="1"/>
    <col min="34" max="34" width="17.5546875" bestFit="1" customWidth="1"/>
    <col min="35" max="35" width="18.109375" bestFit="1" customWidth="1"/>
    <col min="36" max="36" width="33.5546875" customWidth="1"/>
  </cols>
  <sheetData>
    <row r="2" spans="1:36" ht="15" thickBot="1" x14ac:dyDescent="0.35"/>
    <row r="3" spans="1:36" ht="16.2" thickBot="1" x14ac:dyDescent="0.35">
      <c r="A3" s="30" t="s">
        <v>285</v>
      </c>
      <c r="B3" s="31">
        <v>10</v>
      </c>
      <c r="D3" s="45" t="s">
        <v>333</v>
      </c>
      <c r="E3" s="46">
        <v>5</v>
      </c>
      <c r="G3" s="54" t="s">
        <v>321</v>
      </c>
      <c r="H3" s="55">
        <v>1</v>
      </c>
      <c r="J3" s="63" t="s">
        <v>357</v>
      </c>
      <c r="K3" s="64">
        <v>7</v>
      </c>
      <c r="M3" s="226" t="s">
        <v>476</v>
      </c>
      <c r="N3" s="227"/>
      <c r="O3" s="227"/>
      <c r="P3" s="227"/>
      <c r="Q3" s="227"/>
      <c r="R3" s="227"/>
      <c r="S3" s="227"/>
      <c r="T3" s="227"/>
      <c r="U3" s="227"/>
      <c r="V3" s="228"/>
      <c r="Z3" s="262" t="s">
        <v>491</v>
      </c>
      <c r="AA3" s="263"/>
      <c r="AB3" s="263"/>
      <c r="AC3" s="264"/>
      <c r="AG3" s="280" t="s">
        <v>500</v>
      </c>
      <c r="AH3" s="281"/>
      <c r="AI3" s="281"/>
      <c r="AJ3" s="282"/>
    </row>
    <row r="4" spans="1:36" ht="16.2" thickBot="1" x14ac:dyDescent="0.35">
      <c r="A4" s="30" t="s">
        <v>286</v>
      </c>
      <c r="B4" s="31">
        <v>22</v>
      </c>
      <c r="D4" s="45" t="s">
        <v>334</v>
      </c>
      <c r="E4" s="46">
        <v>1</v>
      </c>
      <c r="G4" s="54" t="s">
        <v>322</v>
      </c>
      <c r="H4" s="55">
        <v>3</v>
      </c>
      <c r="J4" s="63" t="s">
        <v>358</v>
      </c>
      <c r="K4" s="64">
        <v>1</v>
      </c>
      <c r="M4" s="74" t="s">
        <v>0</v>
      </c>
      <c r="N4" s="75" t="s">
        <v>11</v>
      </c>
      <c r="O4" s="75" t="s">
        <v>12</v>
      </c>
      <c r="P4" s="75" t="s">
        <v>13</v>
      </c>
      <c r="Q4" s="75" t="s">
        <v>14</v>
      </c>
      <c r="R4" s="75" t="s">
        <v>1</v>
      </c>
      <c r="S4" s="75" t="s">
        <v>2</v>
      </c>
      <c r="T4" s="75" t="s">
        <v>3</v>
      </c>
      <c r="U4" s="75" t="s">
        <v>4</v>
      </c>
      <c r="V4" s="75" t="s">
        <v>5</v>
      </c>
      <c r="Z4" s="135"/>
      <c r="AA4" s="31" t="s">
        <v>468</v>
      </c>
      <c r="AB4" s="31" t="s">
        <v>469</v>
      </c>
      <c r="AC4" s="141" t="s">
        <v>467</v>
      </c>
      <c r="AG4" s="135"/>
      <c r="AH4" s="55" t="s">
        <v>468</v>
      </c>
      <c r="AI4" s="55" t="s">
        <v>469</v>
      </c>
      <c r="AJ4" s="175" t="s">
        <v>467</v>
      </c>
    </row>
    <row r="5" spans="1:36" ht="16.2" thickBot="1" x14ac:dyDescent="0.35">
      <c r="A5" s="30" t="s">
        <v>287</v>
      </c>
      <c r="B5" s="31">
        <v>8</v>
      </c>
      <c r="D5" s="45" t="s">
        <v>335</v>
      </c>
      <c r="E5" s="46">
        <v>1</v>
      </c>
      <c r="G5" s="54" t="s">
        <v>323</v>
      </c>
      <c r="H5" s="55">
        <v>1</v>
      </c>
      <c r="J5" s="63" t="s">
        <v>359</v>
      </c>
      <c r="K5" s="64">
        <v>0</v>
      </c>
      <c r="M5" s="76" t="s">
        <v>233</v>
      </c>
      <c r="N5" s="77">
        <v>10</v>
      </c>
      <c r="O5" s="77">
        <v>22</v>
      </c>
      <c r="P5" s="77">
        <v>8</v>
      </c>
      <c r="Q5" s="77">
        <v>2</v>
      </c>
      <c r="R5" s="78">
        <f>N5/(N5+Q5)</f>
        <v>0.83333333333333337</v>
      </c>
      <c r="S5" s="78">
        <f>O5/(O5+P5)</f>
        <v>0.73333333333333328</v>
      </c>
      <c r="T5" s="78">
        <f>N5/(N5+P5)</f>
        <v>0.55555555555555558</v>
      </c>
      <c r="U5" s="78">
        <f>O5/(O5+Q5)</f>
        <v>0.91666666666666663</v>
      </c>
      <c r="V5" s="78">
        <f>(N5+O5)/(N5+O5+P5+Q5)</f>
        <v>0.76190476190476186</v>
      </c>
      <c r="Z5" s="142" t="s">
        <v>465</v>
      </c>
      <c r="AA5" s="31">
        <v>10</v>
      </c>
      <c r="AB5" s="31">
        <v>2</v>
      </c>
      <c r="AC5" s="141">
        <f>SUM(AA5:AB5)</f>
        <v>12</v>
      </c>
      <c r="AG5" s="176" t="s">
        <v>465</v>
      </c>
      <c r="AH5" s="55">
        <v>1</v>
      </c>
      <c r="AI5" s="55">
        <v>5</v>
      </c>
      <c r="AJ5" s="175">
        <f>SUM(AH5:AI5)</f>
        <v>6</v>
      </c>
    </row>
    <row r="6" spans="1:36" ht="16.2" thickBot="1" x14ac:dyDescent="0.35">
      <c r="A6" s="30" t="s">
        <v>288</v>
      </c>
      <c r="B6" s="31">
        <v>2</v>
      </c>
      <c r="D6" s="45" t="s">
        <v>336</v>
      </c>
      <c r="E6" s="46">
        <v>0</v>
      </c>
      <c r="G6" s="54" t="s">
        <v>324</v>
      </c>
      <c r="H6" s="55">
        <v>5</v>
      </c>
      <c r="J6" s="63" t="s">
        <v>360</v>
      </c>
      <c r="K6" s="64">
        <v>3</v>
      </c>
      <c r="M6" s="76" t="s">
        <v>8</v>
      </c>
      <c r="N6" s="77">
        <v>7</v>
      </c>
      <c r="O6" s="77">
        <v>17</v>
      </c>
      <c r="P6" s="77">
        <v>13</v>
      </c>
      <c r="Q6" s="77">
        <v>5</v>
      </c>
      <c r="R6" s="78">
        <f t="shared" ref="R6:R7" si="0">N6/(N6+Q6)</f>
        <v>0.58333333333333337</v>
      </c>
      <c r="S6" s="78">
        <f t="shared" ref="S6:S7" si="1">O6/(O6+P6)</f>
        <v>0.56666666666666665</v>
      </c>
      <c r="T6" s="78">
        <f t="shared" ref="T6:U7" si="2">N6/(N6+P6)</f>
        <v>0.35</v>
      </c>
      <c r="U6" s="78">
        <f t="shared" si="2"/>
        <v>0.77272727272727271</v>
      </c>
      <c r="V6" s="78">
        <f t="shared" ref="V6:V7" si="3">(N6+O6)/(N6+O6+P6+Q6)</f>
        <v>0.5714285714285714</v>
      </c>
      <c r="Z6" s="142" t="s">
        <v>466</v>
      </c>
      <c r="AA6" s="31">
        <v>8</v>
      </c>
      <c r="AB6" s="31">
        <v>22</v>
      </c>
      <c r="AC6" s="141">
        <f t="shared" ref="AC6:AC7" si="4">SUM(AA6:AB6)</f>
        <v>30</v>
      </c>
      <c r="AG6" s="176" t="s">
        <v>466</v>
      </c>
      <c r="AH6" s="55">
        <v>1</v>
      </c>
      <c r="AI6" s="55">
        <v>3</v>
      </c>
      <c r="AJ6" s="175">
        <f t="shared" ref="AJ6:AJ7" si="5">SUM(AH6:AI6)</f>
        <v>4</v>
      </c>
    </row>
    <row r="7" spans="1:36" ht="16.2" thickBot="1" x14ac:dyDescent="0.35">
      <c r="A7" s="32"/>
      <c r="B7" s="32"/>
      <c r="D7" s="47"/>
      <c r="E7" s="47"/>
      <c r="G7" s="56"/>
      <c r="H7" s="56"/>
      <c r="J7" s="10"/>
      <c r="K7" s="10"/>
      <c r="M7" s="130" t="s">
        <v>280</v>
      </c>
      <c r="N7" s="131">
        <v>9</v>
      </c>
      <c r="O7" s="131">
        <v>14</v>
      </c>
      <c r="P7" s="131">
        <v>16</v>
      </c>
      <c r="Q7" s="131">
        <v>3</v>
      </c>
      <c r="R7" s="132">
        <f t="shared" si="0"/>
        <v>0.75</v>
      </c>
      <c r="S7" s="132">
        <f t="shared" si="1"/>
        <v>0.46666666666666667</v>
      </c>
      <c r="T7" s="132">
        <f t="shared" si="2"/>
        <v>0.36</v>
      </c>
      <c r="U7" s="132">
        <f t="shared" si="2"/>
        <v>0.82352941176470584</v>
      </c>
      <c r="V7" s="132">
        <f t="shared" si="3"/>
        <v>0.54761904761904767</v>
      </c>
      <c r="Z7" s="143" t="s">
        <v>467</v>
      </c>
      <c r="AA7" s="144">
        <f>SUM(AA5:AA6)</f>
        <v>18</v>
      </c>
      <c r="AB7" s="144">
        <f>SUM(AB5:AB6)</f>
        <v>24</v>
      </c>
      <c r="AC7" s="145">
        <f t="shared" si="4"/>
        <v>42</v>
      </c>
      <c r="AG7" s="177" t="s">
        <v>467</v>
      </c>
      <c r="AH7" s="178">
        <f>SUM(AH5:AH6)</f>
        <v>2</v>
      </c>
      <c r="AI7" s="178">
        <f>SUM(AI5:AI6)</f>
        <v>8</v>
      </c>
      <c r="AJ7" s="179">
        <f t="shared" si="5"/>
        <v>10</v>
      </c>
    </row>
    <row r="8" spans="1:36" ht="15.6" x14ac:dyDescent="0.3">
      <c r="A8" s="30" t="s">
        <v>289</v>
      </c>
      <c r="B8" s="31">
        <v>7</v>
      </c>
      <c r="D8" s="45" t="s">
        <v>337</v>
      </c>
      <c r="E8" s="46">
        <v>5</v>
      </c>
      <c r="G8" s="54" t="s">
        <v>325</v>
      </c>
      <c r="H8" s="55">
        <v>6</v>
      </c>
      <c r="J8" s="63" t="s">
        <v>361</v>
      </c>
      <c r="K8" s="64">
        <v>7</v>
      </c>
      <c r="M8" s="133"/>
      <c r="N8" s="134"/>
      <c r="O8" s="134"/>
      <c r="P8" s="134"/>
      <c r="Q8" s="134"/>
      <c r="R8" s="134"/>
      <c r="S8" s="134"/>
      <c r="T8" s="134"/>
      <c r="U8" s="134"/>
      <c r="V8" s="134"/>
      <c r="Z8" s="146"/>
      <c r="AA8" s="146"/>
      <c r="AB8" s="146"/>
      <c r="AC8" s="146"/>
      <c r="AG8" s="180"/>
      <c r="AH8" s="180"/>
      <c r="AI8" s="180"/>
      <c r="AJ8" s="180"/>
    </row>
    <row r="9" spans="1:36" ht="16.2" thickBot="1" x14ac:dyDescent="0.35">
      <c r="A9" s="30" t="s">
        <v>290</v>
      </c>
      <c r="B9" s="31">
        <v>17</v>
      </c>
      <c r="D9" s="45" t="s">
        <v>338</v>
      </c>
      <c r="E9" s="46">
        <v>0</v>
      </c>
      <c r="G9" s="54" t="s">
        <v>326</v>
      </c>
      <c r="H9" s="55">
        <v>0</v>
      </c>
      <c r="J9" s="63" t="s">
        <v>362</v>
      </c>
      <c r="K9" s="64">
        <v>0</v>
      </c>
      <c r="M9" s="40"/>
      <c r="N9" s="40"/>
      <c r="O9" s="40"/>
      <c r="P9" s="40"/>
      <c r="Q9" s="40"/>
      <c r="R9" s="40"/>
      <c r="S9" s="40"/>
      <c r="T9" s="40"/>
      <c r="U9" s="40"/>
      <c r="V9" s="40"/>
      <c r="Z9" s="146"/>
      <c r="AA9" s="146"/>
      <c r="AB9" s="146"/>
      <c r="AC9" s="146"/>
      <c r="AG9" s="180"/>
      <c r="AH9" s="180"/>
      <c r="AI9" s="180"/>
      <c r="AJ9" s="180"/>
    </row>
    <row r="10" spans="1:36" ht="16.2" thickBot="1" x14ac:dyDescent="0.35">
      <c r="A10" s="30" t="s">
        <v>291</v>
      </c>
      <c r="B10" s="31">
        <v>13</v>
      </c>
      <c r="D10" s="45" t="s">
        <v>339</v>
      </c>
      <c r="E10" s="46">
        <v>2</v>
      </c>
      <c r="G10" s="54" t="s">
        <v>327</v>
      </c>
      <c r="H10" s="55">
        <v>4</v>
      </c>
      <c r="J10" s="63" t="s">
        <v>363</v>
      </c>
      <c r="K10" s="64">
        <v>1</v>
      </c>
      <c r="M10" s="229" t="s">
        <v>478</v>
      </c>
      <c r="N10" s="230"/>
      <c r="O10" s="230"/>
      <c r="P10" s="230"/>
      <c r="Q10" s="230"/>
      <c r="R10" s="230"/>
      <c r="S10" s="230"/>
      <c r="T10" s="230"/>
      <c r="U10" s="230"/>
      <c r="V10" s="231"/>
      <c r="Z10" s="262" t="s">
        <v>492</v>
      </c>
      <c r="AA10" s="263"/>
      <c r="AB10" s="263"/>
      <c r="AC10" s="264"/>
      <c r="AG10" s="280" t="s">
        <v>501</v>
      </c>
      <c r="AH10" s="281"/>
      <c r="AI10" s="281"/>
      <c r="AJ10" s="282"/>
    </row>
    <row r="11" spans="1:36" ht="16.2" thickBot="1" x14ac:dyDescent="0.35">
      <c r="A11" s="30" t="s">
        <v>292</v>
      </c>
      <c r="B11" s="31">
        <v>5</v>
      </c>
      <c r="D11" s="45" t="s">
        <v>340</v>
      </c>
      <c r="E11" s="46">
        <v>0</v>
      </c>
      <c r="G11" s="54" t="s">
        <v>328</v>
      </c>
      <c r="H11" s="55">
        <v>0</v>
      </c>
      <c r="J11" s="63" t="s">
        <v>364</v>
      </c>
      <c r="K11" s="64">
        <v>3</v>
      </c>
      <c r="M11" s="79" t="s">
        <v>0</v>
      </c>
      <c r="N11" s="80" t="s">
        <v>11</v>
      </c>
      <c r="O11" s="80" t="s">
        <v>12</v>
      </c>
      <c r="P11" s="80" t="s">
        <v>13</v>
      </c>
      <c r="Q11" s="80" t="s">
        <v>14</v>
      </c>
      <c r="R11" s="80" t="s">
        <v>1</v>
      </c>
      <c r="S11" s="80" t="s">
        <v>2</v>
      </c>
      <c r="T11" s="80" t="s">
        <v>3</v>
      </c>
      <c r="U11" s="80" t="s">
        <v>4</v>
      </c>
      <c r="V11" s="80" t="s">
        <v>5</v>
      </c>
      <c r="Z11" s="135"/>
      <c r="AA11" s="31" t="s">
        <v>468</v>
      </c>
      <c r="AB11" s="31" t="s">
        <v>469</v>
      </c>
      <c r="AC11" s="141" t="s">
        <v>467</v>
      </c>
      <c r="AG11" s="135"/>
      <c r="AH11" s="55" t="s">
        <v>468</v>
      </c>
      <c r="AI11" s="55" t="s">
        <v>469</v>
      </c>
      <c r="AJ11" s="175" t="s">
        <v>467</v>
      </c>
    </row>
    <row r="12" spans="1:36" ht="16.2" thickBot="1" x14ac:dyDescent="0.35">
      <c r="A12" s="32"/>
      <c r="B12" s="32"/>
      <c r="D12" s="47"/>
      <c r="E12" s="47"/>
      <c r="G12" s="56"/>
      <c r="H12" s="56"/>
      <c r="J12" s="10"/>
      <c r="K12" s="10"/>
      <c r="M12" s="81" t="s">
        <v>233</v>
      </c>
      <c r="N12" s="82">
        <v>6</v>
      </c>
      <c r="O12" s="82">
        <v>0</v>
      </c>
      <c r="P12" s="82">
        <v>3</v>
      </c>
      <c r="Q12" s="82">
        <v>1</v>
      </c>
      <c r="R12" s="83">
        <f>N12/(N12+Q12)</f>
        <v>0.8571428571428571</v>
      </c>
      <c r="S12" s="83">
        <f>O12/(O12+P12)</f>
        <v>0</v>
      </c>
      <c r="T12" s="83">
        <f>N12/(N12+P12)</f>
        <v>0.66666666666666663</v>
      </c>
      <c r="U12" s="83">
        <f>O12/(O12+Q12)</f>
        <v>0</v>
      </c>
      <c r="V12" s="83">
        <f>(N12+O12)/(N12+O12+P12+Q12)</f>
        <v>0.6</v>
      </c>
      <c r="Z12" s="142" t="s">
        <v>465</v>
      </c>
      <c r="AA12" s="31">
        <v>7</v>
      </c>
      <c r="AB12" s="31">
        <v>5</v>
      </c>
      <c r="AC12" s="141">
        <f>SUM(AA12:AB12)</f>
        <v>12</v>
      </c>
      <c r="AG12" s="176" t="s">
        <v>465</v>
      </c>
      <c r="AH12" s="55">
        <v>6</v>
      </c>
      <c r="AI12" s="55">
        <v>0</v>
      </c>
      <c r="AJ12" s="175">
        <f>SUM(AH12:AI12)</f>
        <v>6</v>
      </c>
    </row>
    <row r="13" spans="1:36" ht="16.2" thickBot="1" x14ac:dyDescent="0.35">
      <c r="A13" s="30" t="s">
        <v>293</v>
      </c>
      <c r="B13" s="31">
        <v>9</v>
      </c>
      <c r="D13" s="45" t="s">
        <v>341</v>
      </c>
      <c r="E13" s="46">
        <v>3</v>
      </c>
      <c r="G13" s="54" t="s">
        <v>329</v>
      </c>
      <c r="H13" s="55">
        <v>6</v>
      </c>
      <c r="J13" s="63" t="s">
        <v>365</v>
      </c>
      <c r="K13" s="64">
        <v>9</v>
      </c>
      <c r="M13" s="81" t="s">
        <v>8</v>
      </c>
      <c r="N13" s="82">
        <v>6</v>
      </c>
      <c r="O13" s="82">
        <v>0</v>
      </c>
      <c r="P13" s="82">
        <v>3</v>
      </c>
      <c r="Q13" s="82">
        <v>1</v>
      </c>
      <c r="R13" s="83">
        <f t="shared" ref="R13:R14" si="6">N13/(N13+Q13)</f>
        <v>0.8571428571428571</v>
      </c>
      <c r="S13" s="83">
        <f t="shared" ref="S13:S14" si="7">O13/(O13+P13)</f>
        <v>0</v>
      </c>
      <c r="T13" s="83">
        <f t="shared" ref="T13:U14" si="8">N13/(N13+P13)</f>
        <v>0.66666666666666663</v>
      </c>
      <c r="U13" s="83">
        <f t="shared" si="8"/>
        <v>0</v>
      </c>
      <c r="V13" s="83">
        <f t="shared" ref="V13:V14" si="9">(N13+O13)/(N13+O13+P13+Q13)</f>
        <v>0.6</v>
      </c>
      <c r="Z13" s="142" t="s">
        <v>466</v>
      </c>
      <c r="AA13" s="31">
        <v>13</v>
      </c>
      <c r="AB13" s="31">
        <v>17</v>
      </c>
      <c r="AC13" s="141">
        <f t="shared" ref="AC13" si="10">SUM(AA13:AB13)</f>
        <v>30</v>
      </c>
      <c r="AG13" s="176" t="s">
        <v>466</v>
      </c>
      <c r="AH13" s="55">
        <v>4</v>
      </c>
      <c r="AI13" s="55">
        <v>0</v>
      </c>
      <c r="AJ13" s="175">
        <f t="shared" ref="AJ13" si="11">SUM(AH13:AI13)</f>
        <v>4</v>
      </c>
    </row>
    <row r="14" spans="1:36" ht="16.2" thickBot="1" x14ac:dyDescent="0.35">
      <c r="A14" s="30" t="s">
        <v>294</v>
      </c>
      <c r="B14" s="31">
        <v>14</v>
      </c>
      <c r="D14" s="45" t="s">
        <v>342</v>
      </c>
      <c r="E14" s="46">
        <v>1</v>
      </c>
      <c r="G14" s="54" t="s">
        <v>330</v>
      </c>
      <c r="H14" s="55">
        <v>2</v>
      </c>
      <c r="J14" s="63" t="s">
        <v>366</v>
      </c>
      <c r="K14" s="64">
        <v>0</v>
      </c>
      <c r="M14" s="81" t="s">
        <v>280</v>
      </c>
      <c r="N14" s="82">
        <v>7</v>
      </c>
      <c r="O14" s="82">
        <v>1</v>
      </c>
      <c r="P14" s="82">
        <v>2</v>
      </c>
      <c r="Q14" s="82">
        <v>0</v>
      </c>
      <c r="R14" s="83">
        <f t="shared" si="6"/>
        <v>1</v>
      </c>
      <c r="S14" s="83">
        <f t="shared" si="7"/>
        <v>0.33333333333333331</v>
      </c>
      <c r="T14" s="83">
        <f t="shared" si="8"/>
        <v>0.77777777777777779</v>
      </c>
      <c r="U14" s="83">
        <f t="shared" si="8"/>
        <v>1</v>
      </c>
      <c r="V14" s="83">
        <f t="shared" si="9"/>
        <v>0.8</v>
      </c>
      <c r="Z14" s="143" t="s">
        <v>467</v>
      </c>
      <c r="AA14" s="144">
        <f>SUM(AA12:AA13)</f>
        <v>20</v>
      </c>
      <c r="AB14" s="144">
        <f t="shared" ref="AB14:AC14" si="12">SUM(AB12:AB13)</f>
        <v>22</v>
      </c>
      <c r="AC14" s="145">
        <f t="shared" si="12"/>
        <v>42</v>
      </c>
      <c r="AG14" s="177" t="s">
        <v>467</v>
      </c>
      <c r="AH14" s="178">
        <f>SUM(AH12:AH13)</f>
        <v>10</v>
      </c>
      <c r="AI14" s="178">
        <f t="shared" ref="AI14:AJ14" si="13">SUM(AI12:AI13)</f>
        <v>0</v>
      </c>
      <c r="AJ14" s="179">
        <f t="shared" si="13"/>
        <v>10</v>
      </c>
    </row>
    <row r="15" spans="1:36" ht="15.6" x14ac:dyDescent="0.3">
      <c r="A15" s="30" t="s">
        <v>295</v>
      </c>
      <c r="B15" s="31">
        <v>16</v>
      </c>
      <c r="D15" s="45" t="s">
        <v>343</v>
      </c>
      <c r="E15" s="46">
        <v>1</v>
      </c>
      <c r="G15" s="54" t="s">
        <v>331</v>
      </c>
      <c r="H15" s="55">
        <v>2</v>
      </c>
      <c r="J15" s="63" t="s">
        <v>367</v>
      </c>
      <c r="K15" s="64">
        <v>1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Z15" s="146"/>
      <c r="AA15" s="146"/>
      <c r="AB15" s="146"/>
      <c r="AC15" s="146"/>
      <c r="AG15" s="180"/>
      <c r="AH15" s="180"/>
      <c r="AI15" s="180"/>
      <c r="AJ15" s="180"/>
    </row>
    <row r="16" spans="1:36" ht="16.2" thickBot="1" x14ac:dyDescent="0.35">
      <c r="A16" s="30" t="s">
        <v>296</v>
      </c>
      <c r="B16" s="31">
        <v>3</v>
      </c>
      <c r="D16" s="45" t="s">
        <v>344</v>
      </c>
      <c r="E16" s="46">
        <v>2</v>
      </c>
      <c r="G16" s="54" t="s">
        <v>332</v>
      </c>
      <c r="H16" s="55">
        <v>0</v>
      </c>
      <c r="J16" s="63" t="s">
        <v>368</v>
      </c>
      <c r="K16" s="64">
        <v>1</v>
      </c>
      <c r="M16" s="129"/>
      <c r="N16" s="41"/>
      <c r="O16" s="41"/>
      <c r="P16" s="41"/>
      <c r="Q16" s="41"/>
      <c r="R16" s="42"/>
      <c r="S16" s="42"/>
      <c r="T16" s="42"/>
      <c r="U16" s="42"/>
      <c r="V16" s="42"/>
      <c r="Z16" s="146"/>
      <c r="AA16" s="146"/>
      <c r="AB16" s="146"/>
      <c r="AC16" s="146"/>
      <c r="AG16" s="180"/>
      <c r="AH16" s="180"/>
      <c r="AI16" s="180"/>
      <c r="AJ16" s="180"/>
    </row>
    <row r="17" spans="1:36" ht="16.2" thickBot="1" x14ac:dyDescent="0.35">
      <c r="M17" s="232" t="s">
        <v>477</v>
      </c>
      <c r="N17" s="233"/>
      <c r="O17" s="233"/>
      <c r="P17" s="233"/>
      <c r="Q17" s="233"/>
      <c r="R17" s="233"/>
      <c r="S17" s="233"/>
      <c r="T17" s="233"/>
      <c r="U17" s="233"/>
      <c r="V17" s="234"/>
      <c r="Z17" s="262" t="s">
        <v>493</v>
      </c>
      <c r="AA17" s="263"/>
      <c r="AB17" s="263"/>
      <c r="AC17" s="264"/>
      <c r="AG17" s="280" t="s">
        <v>502</v>
      </c>
      <c r="AH17" s="281"/>
      <c r="AI17" s="281"/>
      <c r="AJ17" s="282"/>
    </row>
    <row r="18" spans="1:36" ht="16.2" thickBot="1" x14ac:dyDescent="0.35">
      <c r="M18" s="35" t="s">
        <v>0</v>
      </c>
      <c r="N18" s="36" t="s">
        <v>11</v>
      </c>
      <c r="O18" s="36" t="s">
        <v>12</v>
      </c>
      <c r="P18" s="36" t="s">
        <v>13</v>
      </c>
      <c r="Q18" s="36" t="s">
        <v>14</v>
      </c>
      <c r="R18" s="36" t="s">
        <v>1</v>
      </c>
      <c r="S18" s="36" t="s">
        <v>2</v>
      </c>
      <c r="T18" s="36" t="s">
        <v>3</v>
      </c>
      <c r="U18" s="36" t="s">
        <v>4</v>
      </c>
      <c r="V18" s="36" t="s">
        <v>5</v>
      </c>
      <c r="Z18" s="135"/>
      <c r="AA18" s="31" t="s">
        <v>468</v>
      </c>
      <c r="AB18" s="31" t="s">
        <v>469</v>
      </c>
      <c r="AC18" s="141" t="s">
        <v>467</v>
      </c>
      <c r="AG18" s="135"/>
      <c r="AH18" s="55" t="s">
        <v>468</v>
      </c>
      <c r="AI18" s="55" t="s">
        <v>469</v>
      </c>
      <c r="AJ18" s="175" t="s">
        <v>467</v>
      </c>
    </row>
    <row r="19" spans="1:36" ht="16.2" thickBot="1" x14ac:dyDescent="0.35">
      <c r="A19" s="33" t="s">
        <v>309</v>
      </c>
      <c r="B19" s="34">
        <v>6</v>
      </c>
      <c r="D19" s="48" t="s">
        <v>429</v>
      </c>
      <c r="E19" s="49">
        <v>0</v>
      </c>
      <c r="G19" s="60" t="s">
        <v>345</v>
      </c>
      <c r="H19" s="61">
        <v>8</v>
      </c>
      <c r="J19" s="65" t="s">
        <v>453</v>
      </c>
      <c r="K19" s="66">
        <v>3</v>
      </c>
      <c r="M19" s="37" t="s">
        <v>233</v>
      </c>
      <c r="N19" s="38">
        <v>27</v>
      </c>
      <c r="O19" s="38">
        <v>7</v>
      </c>
      <c r="P19" s="38">
        <v>2</v>
      </c>
      <c r="Q19" s="38">
        <v>16</v>
      </c>
      <c r="R19" s="39">
        <f>N19/(N19+Q19)</f>
        <v>0.62790697674418605</v>
      </c>
      <c r="S19" s="39">
        <f>O19/(O19+P19)</f>
        <v>0.77777777777777779</v>
      </c>
      <c r="T19" s="39">
        <f>N19/(N19+P19)</f>
        <v>0.93103448275862066</v>
      </c>
      <c r="U19" s="39">
        <f>O19/(O19+Q19)</f>
        <v>0.30434782608695654</v>
      </c>
      <c r="V19" s="39">
        <f>(N19+O19)/(N19+O19+P19+Q19)</f>
        <v>0.65384615384615385</v>
      </c>
      <c r="Z19" s="142" t="s">
        <v>465</v>
      </c>
      <c r="AA19" s="31">
        <v>9</v>
      </c>
      <c r="AB19" s="31">
        <v>3</v>
      </c>
      <c r="AC19" s="141">
        <f>SUM(AA19:AB19)</f>
        <v>12</v>
      </c>
      <c r="AG19" s="176" t="s">
        <v>465</v>
      </c>
      <c r="AH19" s="55">
        <v>6</v>
      </c>
      <c r="AI19" s="55">
        <v>0</v>
      </c>
      <c r="AJ19" s="175">
        <f>SUM(AH19:AI19)</f>
        <v>6</v>
      </c>
    </row>
    <row r="20" spans="1:36" ht="16.2" thickBot="1" x14ac:dyDescent="0.35">
      <c r="A20" s="33" t="s">
        <v>310</v>
      </c>
      <c r="B20" s="34">
        <v>0</v>
      </c>
      <c r="D20" s="48" t="s">
        <v>430</v>
      </c>
      <c r="E20" s="49">
        <v>0</v>
      </c>
      <c r="G20" s="60" t="s">
        <v>346</v>
      </c>
      <c r="H20" s="61">
        <v>10</v>
      </c>
      <c r="J20" s="65" t="s">
        <v>454</v>
      </c>
      <c r="K20" s="66">
        <v>0</v>
      </c>
      <c r="M20" s="37" t="s">
        <v>8</v>
      </c>
      <c r="N20" s="38">
        <v>43</v>
      </c>
      <c r="O20" s="38">
        <v>0</v>
      </c>
      <c r="P20" s="38">
        <v>9</v>
      </c>
      <c r="Q20" s="38">
        <v>0</v>
      </c>
      <c r="R20" s="39">
        <f t="shared" ref="R20:R21" si="14">N20/(N20+Q20)</f>
        <v>1</v>
      </c>
      <c r="S20" s="39">
        <f t="shared" ref="S20:S21" si="15">O20/(O20+P20)</f>
        <v>0</v>
      </c>
      <c r="T20" s="39">
        <f t="shared" ref="T20:U21" si="16">N20/(N20+P20)</f>
        <v>0.82692307692307687</v>
      </c>
      <c r="U20" s="39" t="e">
        <f t="shared" si="16"/>
        <v>#DIV/0!</v>
      </c>
      <c r="V20" s="39">
        <f t="shared" ref="V20:V21" si="17">(N20+O20)/(N20+O20+P20+Q20)</f>
        <v>0.82692307692307687</v>
      </c>
      <c r="Z20" s="142" t="s">
        <v>466</v>
      </c>
      <c r="AA20" s="31">
        <v>16</v>
      </c>
      <c r="AB20" s="31">
        <v>14</v>
      </c>
      <c r="AC20" s="141">
        <f t="shared" ref="AC20:AC21" si="18">SUM(AA20:AB20)</f>
        <v>30</v>
      </c>
      <c r="AG20" s="176" t="s">
        <v>466</v>
      </c>
      <c r="AH20" s="55">
        <v>2</v>
      </c>
      <c r="AI20" s="55">
        <v>2</v>
      </c>
      <c r="AJ20" s="175">
        <f t="shared" ref="AJ20:AJ21" si="19">SUM(AH20:AI20)</f>
        <v>4</v>
      </c>
    </row>
    <row r="21" spans="1:36" ht="16.2" thickBot="1" x14ac:dyDescent="0.35">
      <c r="A21" s="33" t="s">
        <v>311</v>
      </c>
      <c r="B21" s="34">
        <v>3</v>
      </c>
      <c r="D21" s="48" t="s">
        <v>431</v>
      </c>
      <c r="E21" s="49">
        <v>0</v>
      </c>
      <c r="G21" s="60" t="s">
        <v>347</v>
      </c>
      <c r="H21" s="61">
        <v>0</v>
      </c>
      <c r="J21" s="65" t="s">
        <v>455</v>
      </c>
      <c r="K21" s="66">
        <v>0</v>
      </c>
      <c r="M21" s="37" t="s">
        <v>280</v>
      </c>
      <c r="N21" s="38">
        <v>38</v>
      </c>
      <c r="O21" s="38">
        <v>7</v>
      </c>
      <c r="P21" s="38">
        <v>2</v>
      </c>
      <c r="Q21" s="38">
        <v>5</v>
      </c>
      <c r="R21" s="39">
        <f t="shared" si="14"/>
        <v>0.88372093023255816</v>
      </c>
      <c r="S21" s="39">
        <f t="shared" si="15"/>
        <v>0.77777777777777779</v>
      </c>
      <c r="T21" s="39">
        <f t="shared" si="16"/>
        <v>0.95</v>
      </c>
      <c r="U21" s="39">
        <f t="shared" si="16"/>
        <v>0.58333333333333337</v>
      </c>
      <c r="V21" s="39">
        <f t="shared" si="17"/>
        <v>0.86538461538461542</v>
      </c>
      <c r="Z21" s="143" t="s">
        <v>467</v>
      </c>
      <c r="AA21" s="144">
        <f>SUM(AA19:AA20)</f>
        <v>25</v>
      </c>
      <c r="AB21" s="144">
        <f t="shared" ref="AB21" si="20">SUM(AB19:AB20)</f>
        <v>17</v>
      </c>
      <c r="AC21" s="145">
        <f t="shared" si="18"/>
        <v>42</v>
      </c>
      <c r="AG21" s="177" t="s">
        <v>467</v>
      </c>
      <c r="AH21" s="178">
        <f>SUM(AH19:AH20)</f>
        <v>8</v>
      </c>
      <c r="AI21" s="178">
        <f t="shared" ref="AI21" si="21">SUM(AI19:AI20)</f>
        <v>2</v>
      </c>
      <c r="AJ21" s="179">
        <f t="shared" si="19"/>
        <v>10</v>
      </c>
    </row>
    <row r="22" spans="1:36" ht="15.6" x14ac:dyDescent="0.3">
      <c r="A22" s="33" t="s">
        <v>312</v>
      </c>
      <c r="B22" s="34">
        <v>1</v>
      </c>
      <c r="D22" s="48" t="s">
        <v>432</v>
      </c>
      <c r="E22" s="49">
        <v>1</v>
      </c>
      <c r="G22" s="60" t="s">
        <v>348</v>
      </c>
      <c r="H22" s="61">
        <v>2</v>
      </c>
      <c r="J22" s="65" t="s">
        <v>456</v>
      </c>
      <c r="K22" s="66">
        <v>0</v>
      </c>
      <c r="M22" s="133"/>
      <c r="N22" s="134"/>
      <c r="O22" s="134"/>
      <c r="P22" s="134"/>
      <c r="Q22" s="134"/>
      <c r="R22" s="134"/>
      <c r="S22" s="134"/>
      <c r="T22" s="134"/>
      <c r="U22" s="134"/>
      <c r="V22" s="134"/>
    </row>
    <row r="23" spans="1:36" ht="16.2" thickBot="1" x14ac:dyDescent="0.35">
      <c r="A23" s="13"/>
      <c r="B23" s="13"/>
      <c r="D23" s="50"/>
      <c r="E23" s="50"/>
      <c r="G23" s="62"/>
      <c r="H23" s="62"/>
      <c r="J23" s="67"/>
      <c r="K23" s="67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36" ht="16.2" thickBot="1" x14ac:dyDescent="0.35">
      <c r="A24" s="33" t="s">
        <v>313</v>
      </c>
      <c r="B24" s="34">
        <v>6</v>
      </c>
      <c r="D24" s="48" t="s">
        <v>433</v>
      </c>
      <c r="E24" s="49">
        <v>1</v>
      </c>
      <c r="G24" s="60" t="s">
        <v>349</v>
      </c>
      <c r="H24" s="61">
        <v>9</v>
      </c>
      <c r="J24" s="65" t="s">
        <v>457</v>
      </c>
      <c r="K24" s="66">
        <v>3</v>
      </c>
      <c r="M24" s="235" t="s">
        <v>480</v>
      </c>
      <c r="N24" s="236"/>
      <c r="O24" s="236"/>
      <c r="P24" s="236"/>
      <c r="Q24" s="236"/>
      <c r="R24" s="236"/>
      <c r="S24" s="236"/>
      <c r="T24" s="236"/>
      <c r="U24" s="236"/>
      <c r="V24" s="237"/>
      <c r="Z24" s="265" t="s">
        <v>497</v>
      </c>
      <c r="AA24" s="266"/>
      <c r="AB24" s="266"/>
      <c r="AC24" s="267"/>
      <c r="AG24" s="283" t="s">
        <v>506</v>
      </c>
      <c r="AH24" s="284"/>
      <c r="AI24" s="284"/>
      <c r="AJ24" s="285"/>
    </row>
    <row r="25" spans="1:36" ht="16.2" thickBot="1" x14ac:dyDescent="0.35">
      <c r="A25" s="33" t="s">
        <v>314</v>
      </c>
      <c r="B25" s="34">
        <v>0</v>
      </c>
      <c r="D25" s="48" t="s">
        <v>434</v>
      </c>
      <c r="E25" s="49">
        <v>0</v>
      </c>
      <c r="G25" s="60" t="s">
        <v>350</v>
      </c>
      <c r="H25" s="61">
        <v>4</v>
      </c>
      <c r="J25" s="65" t="s">
        <v>458</v>
      </c>
      <c r="K25" s="66">
        <v>0</v>
      </c>
      <c r="M25" s="84" t="s">
        <v>0</v>
      </c>
      <c r="N25" s="85" t="s">
        <v>11</v>
      </c>
      <c r="O25" s="85" t="s">
        <v>12</v>
      </c>
      <c r="P25" s="85" t="s">
        <v>13</v>
      </c>
      <c r="Q25" s="85" t="s">
        <v>14</v>
      </c>
      <c r="R25" s="85" t="s">
        <v>1</v>
      </c>
      <c r="S25" s="85" t="s">
        <v>2</v>
      </c>
      <c r="T25" s="85" t="s">
        <v>3</v>
      </c>
      <c r="U25" s="85" t="s">
        <v>4</v>
      </c>
      <c r="V25" s="85" t="s">
        <v>5</v>
      </c>
      <c r="Z25" s="135"/>
      <c r="AA25" s="34" t="s">
        <v>468</v>
      </c>
      <c r="AB25" s="34" t="s">
        <v>469</v>
      </c>
      <c r="AC25" s="147" t="s">
        <v>467</v>
      </c>
      <c r="AG25" s="135"/>
      <c r="AH25" s="61" t="s">
        <v>468</v>
      </c>
      <c r="AI25" s="61" t="s">
        <v>469</v>
      </c>
      <c r="AJ25" s="181" t="s">
        <v>467</v>
      </c>
    </row>
    <row r="26" spans="1:36" ht="16.2" thickBot="1" x14ac:dyDescent="0.35">
      <c r="A26" s="33" t="s">
        <v>315</v>
      </c>
      <c r="B26" s="34">
        <v>3</v>
      </c>
      <c r="D26" s="48" t="s">
        <v>435</v>
      </c>
      <c r="E26" s="49">
        <v>0</v>
      </c>
      <c r="G26" s="60" t="s">
        <v>351</v>
      </c>
      <c r="H26" s="61">
        <v>6</v>
      </c>
      <c r="J26" s="65" t="s">
        <v>459</v>
      </c>
      <c r="K26" s="66">
        <v>0</v>
      </c>
      <c r="M26" s="86" t="s">
        <v>233</v>
      </c>
      <c r="N26" s="87">
        <v>5</v>
      </c>
      <c r="O26" s="87">
        <v>1</v>
      </c>
      <c r="P26" s="87">
        <v>1</v>
      </c>
      <c r="Q26" s="87">
        <v>0</v>
      </c>
      <c r="R26" s="88">
        <f>N26/(N26+Q26)</f>
        <v>1</v>
      </c>
      <c r="S26" s="88">
        <f>O26/(O26+P26)</f>
        <v>0.5</v>
      </c>
      <c r="T26" s="88">
        <f>N26/(N26+P26)</f>
        <v>0.83333333333333337</v>
      </c>
      <c r="U26" s="88">
        <f>O26/(O26+Q26)</f>
        <v>1</v>
      </c>
      <c r="V26" s="88">
        <f>(N26+O26)/(N26+O26+P26+Q26)</f>
        <v>0.8571428571428571</v>
      </c>
      <c r="Z26" s="148" t="s">
        <v>465</v>
      </c>
      <c r="AA26" s="34">
        <v>6</v>
      </c>
      <c r="AB26" s="34">
        <v>1</v>
      </c>
      <c r="AC26" s="147">
        <f>SUM(AA26:AB26)</f>
        <v>7</v>
      </c>
      <c r="AG26" s="182" t="s">
        <v>465</v>
      </c>
      <c r="AH26" s="61">
        <v>8</v>
      </c>
      <c r="AI26" s="61">
        <v>2</v>
      </c>
      <c r="AJ26" s="181">
        <f>SUM(AH26:AI26)</f>
        <v>10</v>
      </c>
    </row>
    <row r="27" spans="1:36" ht="16.2" thickBot="1" x14ac:dyDescent="0.35">
      <c r="A27" s="33" t="s">
        <v>316</v>
      </c>
      <c r="B27" s="34">
        <v>1</v>
      </c>
      <c r="D27" s="48" t="s">
        <v>436</v>
      </c>
      <c r="E27" s="49">
        <v>0</v>
      </c>
      <c r="G27" s="60" t="s">
        <v>352</v>
      </c>
      <c r="H27" s="61">
        <v>1</v>
      </c>
      <c r="J27" s="65" t="s">
        <v>460</v>
      </c>
      <c r="K27" s="66">
        <v>0</v>
      </c>
      <c r="M27" s="86" t="s">
        <v>8</v>
      </c>
      <c r="N27" s="87">
        <v>5</v>
      </c>
      <c r="O27" s="87">
        <v>0</v>
      </c>
      <c r="P27" s="87">
        <v>2</v>
      </c>
      <c r="Q27" s="87">
        <v>0</v>
      </c>
      <c r="R27" s="88">
        <f t="shared" ref="R27:R28" si="22">N27/(N27+Q27)</f>
        <v>1</v>
      </c>
      <c r="S27" s="88">
        <f t="shared" ref="S27:S28" si="23">O27/(O27+P27)</f>
        <v>0</v>
      </c>
      <c r="T27" s="88">
        <f t="shared" ref="T27:U28" si="24">N27/(N27+P27)</f>
        <v>0.7142857142857143</v>
      </c>
      <c r="U27" s="88" t="e">
        <f t="shared" si="24"/>
        <v>#DIV/0!</v>
      </c>
      <c r="V27" s="88">
        <f t="shared" ref="V27:V28" si="25">(N27+O27)/(N27+O27+P27+Q27)</f>
        <v>0.7142857142857143</v>
      </c>
      <c r="Z27" s="148" t="s">
        <v>466</v>
      </c>
      <c r="AA27" s="34">
        <v>3</v>
      </c>
      <c r="AB27" s="34">
        <v>0</v>
      </c>
      <c r="AC27" s="147">
        <f t="shared" ref="AC27:AC28" si="26">SUM(AA27:AB27)</f>
        <v>3</v>
      </c>
      <c r="AG27" s="182" t="s">
        <v>466</v>
      </c>
      <c r="AH27" s="61">
        <v>0</v>
      </c>
      <c r="AI27" s="61">
        <v>10</v>
      </c>
      <c r="AJ27" s="181">
        <f t="shared" ref="AJ27:AJ28" si="27">SUM(AH27:AI27)</f>
        <v>10</v>
      </c>
    </row>
    <row r="28" spans="1:36" ht="16.2" thickBot="1" x14ac:dyDescent="0.35">
      <c r="A28" s="13"/>
      <c r="B28" s="13"/>
      <c r="D28" s="50"/>
      <c r="E28" s="50"/>
      <c r="G28" s="62"/>
      <c r="H28" s="62"/>
      <c r="J28" s="67"/>
      <c r="K28" s="67"/>
      <c r="M28" s="86" t="s">
        <v>280</v>
      </c>
      <c r="N28" s="87">
        <v>3</v>
      </c>
      <c r="O28" s="87">
        <v>1</v>
      </c>
      <c r="P28" s="87">
        <v>1</v>
      </c>
      <c r="Q28" s="87">
        <v>2</v>
      </c>
      <c r="R28" s="88">
        <f t="shared" si="22"/>
        <v>0.6</v>
      </c>
      <c r="S28" s="88">
        <f t="shared" si="23"/>
        <v>0.5</v>
      </c>
      <c r="T28" s="88">
        <f t="shared" si="24"/>
        <v>0.75</v>
      </c>
      <c r="U28" s="88">
        <f t="shared" si="24"/>
        <v>0.33333333333333331</v>
      </c>
      <c r="V28" s="88">
        <f t="shared" si="25"/>
        <v>0.5714285714285714</v>
      </c>
      <c r="Z28" s="149" t="s">
        <v>467</v>
      </c>
      <c r="AA28" s="150">
        <f>SUM(AA26:AA27)</f>
        <v>9</v>
      </c>
      <c r="AB28" s="150">
        <f>SUM(AB26:AB27)</f>
        <v>1</v>
      </c>
      <c r="AC28" s="151">
        <f t="shared" si="26"/>
        <v>10</v>
      </c>
      <c r="AG28" s="183" t="s">
        <v>467</v>
      </c>
      <c r="AH28" s="184">
        <f>SUM(AH26:AH27)</f>
        <v>8</v>
      </c>
      <c r="AI28" s="184">
        <f>SUM(AI26:AI27)</f>
        <v>12</v>
      </c>
      <c r="AJ28" s="185">
        <f t="shared" si="27"/>
        <v>20</v>
      </c>
    </row>
    <row r="29" spans="1:36" ht="15.6" x14ac:dyDescent="0.3">
      <c r="A29" s="33" t="s">
        <v>317</v>
      </c>
      <c r="B29" s="34">
        <v>7</v>
      </c>
      <c r="D29" s="48" t="s">
        <v>437</v>
      </c>
      <c r="E29" s="49">
        <v>1</v>
      </c>
      <c r="G29" s="60" t="s">
        <v>353</v>
      </c>
      <c r="H29" s="61">
        <v>9</v>
      </c>
      <c r="J29" s="65" t="s">
        <v>461</v>
      </c>
      <c r="K29" s="66">
        <v>3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Z29" s="15"/>
      <c r="AA29" s="15"/>
      <c r="AB29" s="15"/>
      <c r="AC29" s="15"/>
      <c r="AG29" s="186"/>
      <c r="AH29" s="186"/>
      <c r="AI29" s="186"/>
      <c r="AJ29" s="186"/>
    </row>
    <row r="30" spans="1:36" ht="16.2" thickBot="1" x14ac:dyDescent="0.35">
      <c r="A30" s="33" t="s">
        <v>318</v>
      </c>
      <c r="B30" s="34">
        <v>1</v>
      </c>
      <c r="D30" s="48" t="s">
        <v>438</v>
      </c>
      <c r="E30" s="49">
        <v>0</v>
      </c>
      <c r="G30" s="60" t="s">
        <v>354</v>
      </c>
      <c r="H30" s="61">
        <v>1</v>
      </c>
      <c r="J30" s="65" t="s">
        <v>462</v>
      </c>
      <c r="K30" s="66">
        <v>0</v>
      </c>
      <c r="M30" s="129"/>
      <c r="N30" s="41"/>
      <c r="O30" s="41"/>
      <c r="P30" s="41"/>
      <c r="Q30" s="41"/>
      <c r="R30" s="42"/>
      <c r="S30" s="42"/>
      <c r="T30" s="42"/>
      <c r="U30" s="42"/>
      <c r="V30" s="42"/>
      <c r="Z30" s="15"/>
      <c r="AA30" s="15"/>
      <c r="AB30" s="15"/>
      <c r="AC30" s="15"/>
      <c r="AG30" s="186"/>
      <c r="AH30" s="186"/>
      <c r="AI30" s="186"/>
      <c r="AJ30" s="186"/>
    </row>
    <row r="31" spans="1:36" ht="16.2" thickBot="1" x14ac:dyDescent="0.35">
      <c r="A31" s="33" t="s">
        <v>319</v>
      </c>
      <c r="B31" s="34">
        <v>2</v>
      </c>
      <c r="D31" s="48" t="s">
        <v>439</v>
      </c>
      <c r="E31" s="49">
        <v>0</v>
      </c>
      <c r="G31" s="60" t="s">
        <v>355</v>
      </c>
      <c r="H31" s="61">
        <v>9</v>
      </c>
      <c r="J31" s="65" t="s">
        <v>463</v>
      </c>
      <c r="K31" s="66">
        <v>0</v>
      </c>
      <c r="M31" s="241" t="s">
        <v>488</v>
      </c>
      <c r="N31" s="242"/>
      <c r="O31" s="242"/>
      <c r="P31" s="242"/>
      <c r="Q31" s="242"/>
      <c r="R31" s="242"/>
      <c r="S31" s="242"/>
      <c r="T31" s="242"/>
      <c r="U31" s="242"/>
      <c r="V31" s="243"/>
      <c r="Z31" s="265" t="s">
        <v>498</v>
      </c>
      <c r="AA31" s="266"/>
      <c r="AB31" s="266"/>
      <c r="AC31" s="267"/>
      <c r="AG31" s="283" t="s">
        <v>525</v>
      </c>
      <c r="AH31" s="284"/>
      <c r="AI31" s="284"/>
      <c r="AJ31" s="285"/>
    </row>
    <row r="32" spans="1:36" ht="16.2" thickBot="1" x14ac:dyDescent="0.35">
      <c r="A32" s="33" t="s">
        <v>320</v>
      </c>
      <c r="B32" s="34">
        <v>0</v>
      </c>
      <c r="D32" s="48" t="s">
        <v>440</v>
      </c>
      <c r="E32" s="49">
        <v>0</v>
      </c>
      <c r="G32" s="60" t="s">
        <v>356</v>
      </c>
      <c r="H32" s="61">
        <v>1</v>
      </c>
      <c r="J32" s="65" t="s">
        <v>464</v>
      </c>
      <c r="K32" s="66">
        <v>0</v>
      </c>
      <c r="M32" s="94" t="s">
        <v>0</v>
      </c>
      <c r="N32" s="95" t="s">
        <v>11</v>
      </c>
      <c r="O32" s="95" t="s">
        <v>12</v>
      </c>
      <c r="P32" s="95" t="s">
        <v>13</v>
      </c>
      <c r="Q32" s="95" t="s">
        <v>14</v>
      </c>
      <c r="R32" s="95" t="s">
        <v>1</v>
      </c>
      <c r="S32" s="95" t="s">
        <v>2</v>
      </c>
      <c r="T32" s="95" t="s">
        <v>3</v>
      </c>
      <c r="U32" s="95" t="s">
        <v>4</v>
      </c>
      <c r="V32" s="95" t="s">
        <v>5</v>
      </c>
      <c r="Z32" s="135"/>
      <c r="AA32" s="34" t="s">
        <v>468</v>
      </c>
      <c r="AB32" s="34" t="s">
        <v>469</v>
      </c>
      <c r="AC32" s="147" t="s">
        <v>467</v>
      </c>
      <c r="AG32" s="135"/>
      <c r="AH32" s="61" t="s">
        <v>468</v>
      </c>
      <c r="AI32" s="61" t="s">
        <v>469</v>
      </c>
      <c r="AJ32" s="181" t="s">
        <v>467</v>
      </c>
    </row>
    <row r="33" spans="1:36" ht="16.2" thickBot="1" x14ac:dyDescent="0.35">
      <c r="M33" s="96" t="s">
        <v>233</v>
      </c>
      <c r="N33" s="97">
        <v>0</v>
      </c>
      <c r="O33" s="97">
        <v>0</v>
      </c>
      <c r="P33" s="97">
        <v>0</v>
      </c>
      <c r="Q33" s="97">
        <v>1</v>
      </c>
      <c r="R33" s="98">
        <f>N33/(N33+Q33)</f>
        <v>0</v>
      </c>
      <c r="S33" s="98" t="e">
        <f>O33/(O33+P33)</f>
        <v>#DIV/0!</v>
      </c>
      <c r="T33" s="98" t="e">
        <f>N33/(N33+P33)</f>
        <v>#DIV/0!</v>
      </c>
      <c r="U33" s="98">
        <f>O33/(O33+Q33)</f>
        <v>0</v>
      </c>
      <c r="V33" s="98">
        <f>(N33+O33)/(N33+O33+P33+Q33)</f>
        <v>0</v>
      </c>
      <c r="Z33" s="148" t="s">
        <v>465</v>
      </c>
      <c r="AA33" s="34">
        <v>6</v>
      </c>
      <c r="AB33" s="34">
        <v>1</v>
      </c>
      <c r="AC33" s="147">
        <f>SUM(AA33:AB33)</f>
        <v>7</v>
      </c>
      <c r="AG33" s="182" t="s">
        <v>465</v>
      </c>
      <c r="AH33" s="61">
        <v>9</v>
      </c>
      <c r="AI33" s="61">
        <v>1</v>
      </c>
      <c r="AJ33" s="181">
        <f>SUM(AH33:AI33)</f>
        <v>10</v>
      </c>
    </row>
    <row r="34" spans="1:36" ht="16.2" thickBot="1" x14ac:dyDescent="0.35">
      <c r="M34" s="96" t="s">
        <v>8</v>
      </c>
      <c r="N34" s="97">
        <v>1</v>
      </c>
      <c r="O34" s="97">
        <v>0</v>
      </c>
      <c r="P34" s="97">
        <v>0</v>
      </c>
      <c r="Q34" s="97">
        <v>0</v>
      </c>
      <c r="R34" s="98">
        <f t="shared" ref="R34:R35" si="28">N34/(N34+Q34)</f>
        <v>1</v>
      </c>
      <c r="S34" s="98" t="e">
        <f t="shared" ref="S34:S35" si="29">O34/(O34+P34)</f>
        <v>#DIV/0!</v>
      </c>
      <c r="T34" s="98">
        <f t="shared" ref="T34:U35" si="30">N34/(N34+P34)</f>
        <v>1</v>
      </c>
      <c r="U34" s="98" t="e">
        <f t="shared" si="30"/>
        <v>#DIV/0!</v>
      </c>
      <c r="V34" s="98">
        <f t="shared" ref="V34:V35" si="31">(N34+O34)/(N34+O34+P34+Q34)</f>
        <v>1</v>
      </c>
      <c r="Z34" s="148" t="s">
        <v>466</v>
      </c>
      <c r="AA34" s="34">
        <v>3</v>
      </c>
      <c r="AB34" s="34">
        <v>0</v>
      </c>
      <c r="AC34" s="147">
        <f t="shared" ref="AC34" si="32">SUM(AA34:AB34)</f>
        <v>3</v>
      </c>
      <c r="AG34" s="182" t="s">
        <v>466</v>
      </c>
      <c r="AH34" s="61">
        <v>6</v>
      </c>
      <c r="AI34" s="61">
        <v>4</v>
      </c>
      <c r="AJ34" s="181">
        <f t="shared" ref="AJ34" si="33">SUM(AH34:AI34)</f>
        <v>10</v>
      </c>
    </row>
    <row r="35" spans="1:36" ht="16.2" thickBot="1" x14ac:dyDescent="0.35">
      <c r="A35" s="43" t="s">
        <v>297</v>
      </c>
      <c r="B35" s="44">
        <v>27</v>
      </c>
      <c r="D35" s="51" t="s">
        <v>381</v>
      </c>
      <c r="E35" s="52">
        <v>3</v>
      </c>
      <c r="G35" s="57" t="s">
        <v>441</v>
      </c>
      <c r="H35" s="58">
        <v>0</v>
      </c>
      <c r="J35" s="68" t="s">
        <v>417</v>
      </c>
      <c r="K35" s="69">
        <v>0</v>
      </c>
      <c r="M35" s="96" t="s">
        <v>280</v>
      </c>
      <c r="N35" s="97">
        <v>1</v>
      </c>
      <c r="O35" s="97">
        <v>0</v>
      </c>
      <c r="P35" s="97">
        <v>0</v>
      </c>
      <c r="Q35" s="97">
        <v>0</v>
      </c>
      <c r="R35" s="98">
        <f t="shared" si="28"/>
        <v>1</v>
      </c>
      <c r="S35" s="98" t="e">
        <f t="shared" si="29"/>
        <v>#DIV/0!</v>
      </c>
      <c r="T35" s="98">
        <f t="shared" si="30"/>
        <v>1</v>
      </c>
      <c r="U35" s="98" t="e">
        <f t="shared" si="30"/>
        <v>#DIV/0!</v>
      </c>
      <c r="V35" s="98">
        <f t="shared" si="31"/>
        <v>1</v>
      </c>
      <c r="Z35" s="149" t="s">
        <v>467</v>
      </c>
      <c r="AA35" s="150">
        <f>SUM(AA33:AA34)</f>
        <v>9</v>
      </c>
      <c r="AB35" s="150">
        <f t="shared" ref="AB35:AC35" si="34">SUM(AB33:AB34)</f>
        <v>1</v>
      </c>
      <c r="AC35" s="151">
        <f t="shared" si="34"/>
        <v>10</v>
      </c>
      <c r="AG35" s="183" t="s">
        <v>467</v>
      </c>
      <c r="AH35" s="184">
        <f>SUM(AH33:AH34)</f>
        <v>15</v>
      </c>
      <c r="AI35" s="184">
        <f t="shared" ref="AI35:AJ35" si="35">SUM(AI33:AI34)</f>
        <v>5</v>
      </c>
      <c r="AJ35" s="185">
        <f t="shared" si="35"/>
        <v>20</v>
      </c>
    </row>
    <row r="36" spans="1:36" ht="15.6" x14ac:dyDescent="0.3">
      <c r="A36" s="43" t="s">
        <v>298</v>
      </c>
      <c r="B36" s="44">
        <v>7</v>
      </c>
      <c r="D36" s="51" t="s">
        <v>382</v>
      </c>
      <c r="E36" s="52">
        <v>0</v>
      </c>
      <c r="G36" s="57" t="s">
        <v>442</v>
      </c>
      <c r="H36" s="58">
        <v>0</v>
      </c>
      <c r="J36" s="68" t="s">
        <v>418</v>
      </c>
      <c r="K36" s="69">
        <v>2</v>
      </c>
      <c r="M36" s="129"/>
      <c r="N36" s="41"/>
      <c r="O36" s="41"/>
      <c r="P36" s="41"/>
      <c r="Q36" s="41"/>
      <c r="R36" s="42"/>
      <c r="S36" s="42"/>
      <c r="T36" s="42"/>
      <c r="U36" s="42"/>
      <c r="V36" s="42"/>
      <c r="Z36" s="15"/>
      <c r="AA36" s="15"/>
      <c r="AB36" s="15"/>
      <c r="AC36" s="15"/>
      <c r="AG36" s="186"/>
      <c r="AH36" s="186"/>
      <c r="AI36" s="186"/>
      <c r="AJ36" s="186"/>
    </row>
    <row r="37" spans="1:36" ht="16.2" thickBot="1" x14ac:dyDescent="0.35">
      <c r="A37" s="43" t="s">
        <v>299</v>
      </c>
      <c r="B37" s="44">
        <v>2</v>
      </c>
      <c r="D37" s="51" t="s">
        <v>383</v>
      </c>
      <c r="E37" s="52">
        <v>0</v>
      </c>
      <c r="G37" s="57" t="s">
        <v>443</v>
      </c>
      <c r="H37" s="58">
        <v>1</v>
      </c>
      <c r="J37" s="68" t="s">
        <v>419</v>
      </c>
      <c r="K37" s="69">
        <v>0</v>
      </c>
      <c r="M37" s="129"/>
      <c r="N37" s="41"/>
      <c r="O37" s="41"/>
      <c r="P37" s="41"/>
      <c r="Q37" s="41"/>
      <c r="R37" s="42"/>
      <c r="S37" s="42"/>
      <c r="T37" s="42"/>
      <c r="U37" s="42"/>
      <c r="V37" s="42"/>
      <c r="Z37" s="15"/>
      <c r="AA37" s="15"/>
      <c r="AB37" s="15"/>
      <c r="AC37" s="15"/>
      <c r="AG37" s="186"/>
      <c r="AH37" s="186"/>
      <c r="AI37" s="186"/>
      <c r="AJ37" s="186"/>
    </row>
    <row r="38" spans="1:36" ht="16.2" thickBot="1" x14ac:dyDescent="0.35">
      <c r="A38" s="43" t="s">
        <v>300</v>
      </c>
      <c r="B38" s="44">
        <v>16</v>
      </c>
      <c r="D38" s="51" t="s">
        <v>384</v>
      </c>
      <c r="E38" s="52">
        <v>1</v>
      </c>
      <c r="G38" s="57" t="s">
        <v>444</v>
      </c>
      <c r="H38" s="58">
        <v>0</v>
      </c>
      <c r="J38" s="68" t="s">
        <v>420</v>
      </c>
      <c r="K38" s="69">
        <v>0</v>
      </c>
      <c r="M38" s="244" t="s">
        <v>484</v>
      </c>
      <c r="N38" s="245"/>
      <c r="O38" s="245"/>
      <c r="P38" s="245"/>
      <c r="Q38" s="245"/>
      <c r="R38" s="245"/>
      <c r="S38" s="245"/>
      <c r="T38" s="245"/>
      <c r="U38" s="245"/>
      <c r="V38" s="246"/>
      <c r="Z38" s="265" t="s">
        <v>499</v>
      </c>
      <c r="AA38" s="266"/>
      <c r="AB38" s="266"/>
      <c r="AC38" s="267"/>
      <c r="AG38" s="283" t="s">
        <v>524</v>
      </c>
      <c r="AH38" s="284"/>
      <c r="AI38" s="284"/>
      <c r="AJ38" s="285"/>
    </row>
    <row r="39" spans="1:36" ht="16.2" thickBot="1" x14ac:dyDescent="0.35">
      <c r="A39" s="16"/>
      <c r="B39" s="16"/>
      <c r="D39" s="53"/>
      <c r="E39" s="53"/>
      <c r="G39" s="59"/>
      <c r="H39" s="59"/>
      <c r="J39" s="70"/>
      <c r="K39" s="70"/>
      <c r="M39" s="89" t="s">
        <v>0</v>
      </c>
      <c r="N39" s="90" t="s">
        <v>11</v>
      </c>
      <c r="O39" s="90" t="s">
        <v>12</v>
      </c>
      <c r="P39" s="90" t="s">
        <v>13</v>
      </c>
      <c r="Q39" s="90" t="s">
        <v>14</v>
      </c>
      <c r="R39" s="90" t="s">
        <v>1</v>
      </c>
      <c r="S39" s="90" t="s">
        <v>2</v>
      </c>
      <c r="T39" s="90" t="s">
        <v>3</v>
      </c>
      <c r="U39" s="90" t="s">
        <v>4</v>
      </c>
      <c r="V39" s="90" t="s">
        <v>5</v>
      </c>
      <c r="Z39" s="135"/>
      <c r="AA39" s="34" t="s">
        <v>468</v>
      </c>
      <c r="AB39" s="34" t="s">
        <v>469</v>
      </c>
      <c r="AC39" s="147" t="s">
        <v>467</v>
      </c>
      <c r="AG39" s="135"/>
      <c r="AH39" s="61" t="s">
        <v>468</v>
      </c>
      <c r="AI39" s="61" t="s">
        <v>469</v>
      </c>
      <c r="AJ39" s="181" t="s">
        <v>467</v>
      </c>
    </row>
    <row r="40" spans="1:36" ht="16.2" thickBot="1" x14ac:dyDescent="0.35">
      <c r="A40" s="43" t="s">
        <v>301</v>
      </c>
      <c r="B40" s="44">
        <v>43</v>
      </c>
      <c r="D40" s="51" t="s">
        <v>385</v>
      </c>
      <c r="E40" s="52">
        <v>4</v>
      </c>
      <c r="G40" s="57" t="s">
        <v>445</v>
      </c>
      <c r="H40" s="58">
        <v>0</v>
      </c>
      <c r="J40" s="68" t="s">
        <v>421</v>
      </c>
      <c r="K40" s="69">
        <v>0</v>
      </c>
      <c r="M40" s="91" t="s">
        <v>233</v>
      </c>
      <c r="N40" s="92">
        <v>3</v>
      </c>
      <c r="O40" s="92">
        <v>0</v>
      </c>
      <c r="P40" s="92">
        <v>0</v>
      </c>
      <c r="Q40" s="92">
        <v>1</v>
      </c>
      <c r="R40" s="93">
        <f>N40/(N40+Q40)</f>
        <v>0.75</v>
      </c>
      <c r="S40" s="93" t="e">
        <f>O40/(O40+P40)</f>
        <v>#DIV/0!</v>
      </c>
      <c r="T40" s="93">
        <f>N40/(N40+P40)</f>
        <v>1</v>
      </c>
      <c r="U40" s="93">
        <f>O40/(O40+Q40)</f>
        <v>0</v>
      </c>
      <c r="V40" s="93">
        <f>(N40+O40)/(N40+O40+P40+Q40)</f>
        <v>0.75</v>
      </c>
      <c r="Z40" s="148" t="s">
        <v>465</v>
      </c>
      <c r="AA40" s="34">
        <v>7</v>
      </c>
      <c r="AB40" s="34">
        <v>0</v>
      </c>
      <c r="AC40" s="147">
        <f>SUM(AA40:AB40)</f>
        <v>7</v>
      </c>
      <c r="AG40" s="182" t="s">
        <v>465</v>
      </c>
      <c r="AH40" s="61">
        <v>9</v>
      </c>
      <c r="AI40" s="61">
        <v>1</v>
      </c>
      <c r="AJ40" s="181">
        <f>SUM(AH40:AI40)</f>
        <v>10</v>
      </c>
    </row>
    <row r="41" spans="1:36" ht="16.2" thickBot="1" x14ac:dyDescent="0.35">
      <c r="A41" s="43" t="s">
        <v>302</v>
      </c>
      <c r="B41" s="44">
        <v>0</v>
      </c>
      <c r="D41" s="51" t="s">
        <v>386</v>
      </c>
      <c r="E41" s="52">
        <v>0</v>
      </c>
      <c r="G41" s="57" t="s">
        <v>446</v>
      </c>
      <c r="H41" s="58">
        <v>0</v>
      </c>
      <c r="J41" s="68" t="s">
        <v>422</v>
      </c>
      <c r="K41" s="69">
        <v>0</v>
      </c>
      <c r="M41" s="91" t="s">
        <v>8</v>
      </c>
      <c r="N41" s="92">
        <v>4</v>
      </c>
      <c r="O41" s="92">
        <v>0</v>
      </c>
      <c r="P41" s="92">
        <v>0</v>
      </c>
      <c r="Q41" s="92">
        <v>0</v>
      </c>
      <c r="R41" s="93">
        <f t="shared" ref="R41:R42" si="36">N41/(N41+Q41)</f>
        <v>1</v>
      </c>
      <c r="S41" s="93" t="e">
        <f t="shared" ref="S41:S42" si="37">O41/(O41+P41)</f>
        <v>#DIV/0!</v>
      </c>
      <c r="T41" s="93">
        <f t="shared" ref="T41:U42" si="38">N41/(N41+P41)</f>
        <v>1</v>
      </c>
      <c r="U41" s="93" t="e">
        <f t="shared" si="38"/>
        <v>#DIV/0!</v>
      </c>
      <c r="V41" s="93">
        <f t="shared" ref="V41:V42" si="39">(N41+O41)/(N41+O41+P41+Q41)</f>
        <v>1</v>
      </c>
      <c r="Z41" s="148" t="s">
        <v>466</v>
      </c>
      <c r="AA41" s="34">
        <v>2</v>
      </c>
      <c r="AB41" s="34">
        <v>1</v>
      </c>
      <c r="AC41" s="147">
        <f t="shared" ref="AC41:AC42" si="40">SUM(AA41:AB41)</f>
        <v>3</v>
      </c>
      <c r="AG41" s="182" t="s">
        <v>466</v>
      </c>
      <c r="AH41" s="61">
        <v>9</v>
      </c>
      <c r="AI41" s="61">
        <v>1</v>
      </c>
      <c r="AJ41" s="181">
        <f t="shared" ref="AJ41:AJ42" si="41">SUM(AH41:AI41)</f>
        <v>10</v>
      </c>
    </row>
    <row r="42" spans="1:36" ht="16.2" thickBot="1" x14ac:dyDescent="0.35">
      <c r="A42" s="43" t="s">
        <v>303</v>
      </c>
      <c r="B42" s="44">
        <v>9</v>
      </c>
      <c r="D42" s="51" t="s">
        <v>387</v>
      </c>
      <c r="E42" s="52">
        <v>0</v>
      </c>
      <c r="G42" s="57" t="s">
        <v>447</v>
      </c>
      <c r="H42" s="58">
        <v>1</v>
      </c>
      <c r="J42" s="68" t="s">
        <v>423</v>
      </c>
      <c r="K42" s="69">
        <v>2</v>
      </c>
      <c r="M42" s="91" t="s">
        <v>280</v>
      </c>
      <c r="N42" s="92">
        <v>4</v>
      </c>
      <c r="O42" s="92">
        <v>0</v>
      </c>
      <c r="P42" s="92">
        <v>0</v>
      </c>
      <c r="Q42" s="92">
        <v>0</v>
      </c>
      <c r="R42" s="93">
        <f t="shared" si="36"/>
        <v>1</v>
      </c>
      <c r="S42" s="93" t="e">
        <f t="shared" si="37"/>
        <v>#DIV/0!</v>
      </c>
      <c r="T42" s="93">
        <f t="shared" si="38"/>
        <v>1</v>
      </c>
      <c r="U42" s="93" t="e">
        <f t="shared" si="38"/>
        <v>#DIV/0!</v>
      </c>
      <c r="V42" s="93">
        <f t="shared" si="39"/>
        <v>1</v>
      </c>
      <c r="Z42" s="149" t="s">
        <v>467</v>
      </c>
      <c r="AA42" s="150">
        <f>SUM(AA40:AA41)</f>
        <v>9</v>
      </c>
      <c r="AB42" s="150">
        <f t="shared" ref="AB42" si="42">SUM(AB40:AB41)</f>
        <v>1</v>
      </c>
      <c r="AC42" s="151">
        <f t="shared" si="40"/>
        <v>10</v>
      </c>
      <c r="AG42" s="183" t="s">
        <v>467</v>
      </c>
      <c r="AH42" s="184">
        <f>SUM(AH40:AH41)</f>
        <v>18</v>
      </c>
      <c r="AI42" s="184">
        <f t="shared" ref="AI42" si="43">SUM(AI40:AI41)</f>
        <v>2</v>
      </c>
      <c r="AJ42" s="185">
        <f t="shared" si="41"/>
        <v>20</v>
      </c>
    </row>
    <row r="43" spans="1:36" ht="15.6" x14ac:dyDescent="0.3">
      <c r="A43" s="43" t="s">
        <v>304</v>
      </c>
      <c r="B43" s="44">
        <v>0</v>
      </c>
      <c r="D43" s="51" t="s">
        <v>388</v>
      </c>
      <c r="E43" s="52">
        <v>0</v>
      </c>
      <c r="G43" s="57" t="s">
        <v>448</v>
      </c>
      <c r="H43" s="58">
        <v>0</v>
      </c>
      <c r="J43" s="68" t="s">
        <v>424</v>
      </c>
      <c r="K43" s="69">
        <v>0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36" ht="16.2" thickBot="1" x14ac:dyDescent="0.35">
      <c r="A44" s="16"/>
      <c r="B44" s="16"/>
      <c r="D44" s="53"/>
      <c r="E44" s="53"/>
      <c r="G44" s="59"/>
      <c r="H44" s="59"/>
      <c r="J44" s="70"/>
      <c r="K44" s="70"/>
      <c r="M44" s="129"/>
      <c r="N44" s="41"/>
      <c r="O44" s="41"/>
      <c r="P44" s="41"/>
      <c r="Q44" s="41"/>
      <c r="R44" s="42"/>
      <c r="S44" s="42"/>
      <c r="T44" s="42"/>
      <c r="U44" s="42"/>
      <c r="V44" s="42"/>
    </row>
    <row r="45" spans="1:36" ht="16.2" thickBot="1" x14ac:dyDescent="0.35">
      <c r="A45" s="43" t="s">
        <v>305</v>
      </c>
      <c r="B45" s="44">
        <v>38</v>
      </c>
      <c r="D45" s="51" t="s">
        <v>389</v>
      </c>
      <c r="E45" s="52">
        <v>4</v>
      </c>
      <c r="G45" s="57" t="s">
        <v>449</v>
      </c>
      <c r="H45" s="58">
        <v>0</v>
      </c>
      <c r="J45" s="68" t="s">
        <v>425</v>
      </c>
      <c r="K45" s="69">
        <v>0</v>
      </c>
      <c r="M45" s="247" t="s">
        <v>479</v>
      </c>
      <c r="N45" s="248"/>
      <c r="O45" s="248"/>
      <c r="P45" s="248"/>
      <c r="Q45" s="248"/>
      <c r="R45" s="248"/>
      <c r="S45" s="248"/>
      <c r="T45" s="248"/>
      <c r="U45" s="248"/>
      <c r="V45" s="249"/>
      <c r="Z45" s="268" t="s">
        <v>494</v>
      </c>
      <c r="AA45" s="269"/>
      <c r="AB45" s="269"/>
      <c r="AC45" s="270"/>
      <c r="AG45" s="286" t="s">
        <v>530</v>
      </c>
      <c r="AH45" s="287"/>
      <c r="AI45" s="287"/>
      <c r="AJ45" s="288"/>
    </row>
    <row r="46" spans="1:36" ht="16.2" thickBot="1" x14ac:dyDescent="0.35">
      <c r="A46" s="43" t="s">
        <v>306</v>
      </c>
      <c r="B46" s="44">
        <v>7</v>
      </c>
      <c r="D46" s="51" t="s">
        <v>390</v>
      </c>
      <c r="E46" s="52">
        <v>0</v>
      </c>
      <c r="G46" s="57" t="s">
        <v>450</v>
      </c>
      <c r="H46" s="58">
        <v>0</v>
      </c>
      <c r="J46" s="68" t="s">
        <v>426</v>
      </c>
      <c r="K46" s="69">
        <v>0</v>
      </c>
      <c r="M46" s="99" t="s">
        <v>0</v>
      </c>
      <c r="N46" s="100" t="s">
        <v>11</v>
      </c>
      <c r="O46" s="100" t="s">
        <v>12</v>
      </c>
      <c r="P46" s="100" t="s">
        <v>13</v>
      </c>
      <c r="Q46" s="100" t="s">
        <v>14</v>
      </c>
      <c r="R46" s="100" t="s">
        <v>1</v>
      </c>
      <c r="S46" s="100" t="s">
        <v>2</v>
      </c>
      <c r="T46" s="100" t="s">
        <v>3</v>
      </c>
      <c r="U46" s="100" t="s">
        <v>4</v>
      </c>
      <c r="V46" s="100" t="s">
        <v>5</v>
      </c>
      <c r="Z46" s="135"/>
      <c r="AA46" s="44" t="s">
        <v>468</v>
      </c>
      <c r="AB46" s="44" t="s">
        <v>469</v>
      </c>
      <c r="AC46" s="152" t="s">
        <v>467</v>
      </c>
      <c r="AG46" s="135"/>
      <c r="AH46" s="58" t="s">
        <v>468</v>
      </c>
      <c r="AI46" s="58" t="s">
        <v>469</v>
      </c>
      <c r="AJ46" s="187" t="s">
        <v>467</v>
      </c>
    </row>
    <row r="47" spans="1:36" ht="16.2" thickBot="1" x14ac:dyDescent="0.35">
      <c r="A47" s="43" t="s">
        <v>307</v>
      </c>
      <c r="B47" s="44">
        <v>2</v>
      </c>
      <c r="D47" s="51" t="s">
        <v>391</v>
      </c>
      <c r="E47" s="52">
        <v>0</v>
      </c>
      <c r="G47" s="57" t="s">
        <v>451</v>
      </c>
      <c r="H47" s="58">
        <v>1</v>
      </c>
      <c r="J47" s="68" t="s">
        <v>427</v>
      </c>
      <c r="K47" s="69">
        <v>2</v>
      </c>
      <c r="M47" s="101" t="s">
        <v>233</v>
      </c>
      <c r="N47" s="102">
        <v>1</v>
      </c>
      <c r="O47" s="102">
        <v>3</v>
      </c>
      <c r="P47" s="102">
        <v>1</v>
      </c>
      <c r="Q47" s="102">
        <v>5</v>
      </c>
      <c r="R47" s="103">
        <f>N47/(N47+Q47)</f>
        <v>0.16666666666666666</v>
      </c>
      <c r="S47" s="103">
        <f>O47/(O47+P47)</f>
        <v>0.75</v>
      </c>
      <c r="T47" s="103">
        <f>N47/(N47+P47)</f>
        <v>0.5</v>
      </c>
      <c r="U47" s="103">
        <f>O47/(O47+Q47)</f>
        <v>0.375</v>
      </c>
      <c r="V47" s="103">
        <f>(N47+O47)/(N47+O47+P47+Q47)</f>
        <v>0.4</v>
      </c>
      <c r="Z47" s="153" t="s">
        <v>465</v>
      </c>
      <c r="AA47" s="44">
        <v>27</v>
      </c>
      <c r="AB47" s="44">
        <v>16</v>
      </c>
      <c r="AC47" s="152">
        <f>SUM(AA47:AB47)</f>
        <v>43</v>
      </c>
      <c r="AG47" s="188" t="s">
        <v>465</v>
      </c>
      <c r="AH47" s="58">
        <v>0</v>
      </c>
      <c r="AI47" s="58">
        <v>0</v>
      </c>
      <c r="AJ47" s="187">
        <f>SUM(AH47:AI47)</f>
        <v>0</v>
      </c>
    </row>
    <row r="48" spans="1:36" ht="16.2" thickBot="1" x14ac:dyDescent="0.35">
      <c r="A48" s="43" t="s">
        <v>308</v>
      </c>
      <c r="B48" s="44">
        <v>5</v>
      </c>
      <c r="D48" s="51" t="s">
        <v>392</v>
      </c>
      <c r="E48" s="52">
        <v>0</v>
      </c>
      <c r="G48" s="57" t="s">
        <v>452</v>
      </c>
      <c r="H48" s="58">
        <v>0</v>
      </c>
      <c r="J48" s="68" t="s">
        <v>428</v>
      </c>
      <c r="K48" s="69">
        <v>0</v>
      </c>
      <c r="M48" s="101" t="s">
        <v>8</v>
      </c>
      <c r="N48" s="102">
        <v>6</v>
      </c>
      <c r="O48" s="102">
        <v>0</v>
      </c>
      <c r="P48" s="102">
        <v>4</v>
      </c>
      <c r="Q48" s="102">
        <v>0</v>
      </c>
      <c r="R48" s="103">
        <f t="shared" ref="R48:R49" si="44">N48/(N48+Q48)</f>
        <v>1</v>
      </c>
      <c r="S48" s="103">
        <f t="shared" ref="S48:S49" si="45">O48/(O48+P48)</f>
        <v>0</v>
      </c>
      <c r="T48" s="103">
        <f t="shared" ref="T48:U49" si="46">N48/(N48+P48)</f>
        <v>0.6</v>
      </c>
      <c r="U48" s="103" t="e">
        <f t="shared" si="46"/>
        <v>#DIV/0!</v>
      </c>
      <c r="V48" s="103">
        <f t="shared" ref="V48:V49" si="47">(N48+O48)/(N48+O48+P48+Q48)</f>
        <v>0.6</v>
      </c>
      <c r="Z48" s="153" t="s">
        <v>466</v>
      </c>
      <c r="AA48" s="44">
        <v>2</v>
      </c>
      <c r="AB48" s="44">
        <v>7</v>
      </c>
      <c r="AC48" s="152">
        <f t="shared" ref="AC48:AC49" si="48">SUM(AA48:AB48)</f>
        <v>9</v>
      </c>
      <c r="AG48" s="188" t="s">
        <v>466</v>
      </c>
      <c r="AH48" s="58">
        <v>1</v>
      </c>
      <c r="AI48" s="58">
        <v>0</v>
      </c>
      <c r="AJ48" s="187">
        <f t="shared" ref="AJ48:AJ49" si="49">SUM(AH48:AI48)</f>
        <v>1</v>
      </c>
    </row>
    <row r="49" spans="1:36" ht="16.2" thickBot="1" x14ac:dyDescent="0.35">
      <c r="M49" s="101" t="s">
        <v>280</v>
      </c>
      <c r="N49" s="102">
        <v>6</v>
      </c>
      <c r="O49" s="102">
        <v>2</v>
      </c>
      <c r="P49" s="102">
        <v>2</v>
      </c>
      <c r="Q49" s="102">
        <v>0</v>
      </c>
      <c r="R49" s="103">
        <f t="shared" si="44"/>
        <v>1</v>
      </c>
      <c r="S49" s="103">
        <f t="shared" si="45"/>
        <v>0.5</v>
      </c>
      <c r="T49" s="103">
        <f t="shared" si="46"/>
        <v>0.75</v>
      </c>
      <c r="U49" s="103">
        <f t="shared" si="46"/>
        <v>1</v>
      </c>
      <c r="V49" s="103">
        <f t="shared" si="47"/>
        <v>0.8</v>
      </c>
      <c r="Z49" s="154" t="s">
        <v>467</v>
      </c>
      <c r="AA49" s="155">
        <f>SUM(AA47:AA48)</f>
        <v>29</v>
      </c>
      <c r="AB49" s="155">
        <f>SUM(AB47:AB48)</f>
        <v>23</v>
      </c>
      <c r="AC49" s="156">
        <f t="shared" si="48"/>
        <v>52</v>
      </c>
      <c r="AG49" s="189" t="s">
        <v>467</v>
      </c>
      <c r="AH49" s="190">
        <f>SUM(AH47:AH48)</f>
        <v>1</v>
      </c>
      <c r="AI49" s="190">
        <f>SUM(AI47:AI48)</f>
        <v>0</v>
      </c>
      <c r="AJ49" s="191">
        <f t="shared" si="49"/>
        <v>1</v>
      </c>
    </row>
    <row r="50" spans="1:36" ht="15.6" x14ac:dyDescent="0.3">
      <c r="M50" s="129"/>
      <c r="N50" s="41"/>
      <c r="O50" s="41"/>
      <c r="P50" s="41"/>
      <c r="Q50" s="41"/>
      <c r="R50" s="42"/>
      <c r="S50" s="42"/>
      <c r="T50" s="42"/>
      <c r="U50" s="42"/>
      <c r="V50" s="42"/>
      <c r="Z50" s="18"/>
      <c r="AA50" s="18"/>
      <c r="AB50" s="18"/>
      <c r="AC50" s="18"/>
      <c r="AG50" s="192"/>
      <c r="AH50" s="192"/>
      <c r="AI50" s="192"/>
      <c r="AJ50" s="192"/>
    </row>
    <row r="51" spans="1:36" ht="16.2" thickBot="1" x14ac:dyDescent="0.35">
      <c r="A51" s="41"/>
      <c r="B51" s="4"/>
      <c r="D51" s="41"/>
      <c r="E51" s="4"/>
      <c r="G51" s="41"/>
      <c r="H51" s="4"/>
      <c r="J51" s="41"/>
      <c r="M51" s="129"/>
      <c r="N51" s="41"/>
      <c r="O51" s="41"/>
      <c r="P51" s="41"/>
      <c r="Q51" s="41"/>
      <c r="R51" s="42"/>
      <c r="S51" s="42"/>
      <c r="T51" s="42"/>
      <c r="U51" s="42"/>
      <c r="V51" s="42"/>
      <c r="Z51" s="18"/>
      <c r="AA51" s="18"/>
      <c r="AB51" s="18"/>
      <c r="AC51" s="18"/>
      <c r="AG51" s="192"/>
      <c r="AH51" s="192"/>
      <c r="AI51" s="192"/>
      <c r="AJ51" s="192"/>
    </row>
    <row r="52" spans="1:36" ht="16.2" thickBot="1" x14ac:dyDescent="0.35">
      <c r="A52" s="41"/>
      <c r="B52" s="4"/>
      <c r="D52" s="41"/>
      <c r="E52" s="4"/>
      <c r="G52" s="41"/>
      <c r="H52" s="4"/>
      <c r="J52" s="41"/>
      <c r="M52" s="250" t="s">
        <v>481</v>
      </c>
      <c r="N52" s="251"/>
      <c r="O52" s="251"/>
      <c r="P52" s="251"/>
      <c r="Q52" s="251"/>
      <c r="R52" s="251"/>
      <c r="S52" s="251"/>
      <c r="T52" s="251"/>
      <c r="U52" s="251"/>
      <c r="V52" s="252"/>
      <c r="Z52" s="268" t="s">
        <v>495</v>
      </c>
      <c r="AA52" s="269"/>
      <c r="AB52" s="269"/>
      <c r="AC52" s="270"/>
      <c r="AG52" s="286" t="s">
        <v>531</v>
      </c>
      <c r="AH52" s="287"/>
      <c r="AI52" s="287"/>
      <c r="AJ52" s="288"/>
    </row>
    <row r="53" spans="1:36" ht="16.2" thickBot="1" x14ac:dyDescent="0.35">
      <c r="A53" s="41"/>
      <c r="B53" s="4"/>
      <c r="D53" s="41"/>
      <c r="E53" s="4"/>
      <c r="G53" s="41"/>
      <c r="H53" s="4"/>
      <c r="J53" s="41"/>
      <c r="M53" s="104" t="s">
        <v>0</v>
      </c>
      <c r="N53" s="105" t="s">
        <v>11</v>
      </c>
      <c r="O53" s="105" t="s">
        <v>12</v>
      </c>
      <c r="P53" s="105" t="s">
        <v>13</v>
      </c>
      <c r="Q53" s="105" t="s">
        <v>14</v>
      </c>
      <c r="R53" s="105" t="s">
        <v>1</v>
      </c>
      <c r="S53" s="105" t="s">
        <v>2</v>
      </c>
      <c r="T53" s="105" t="s">
        <v>3</v>
      </c>
      <c r="U53" s="105" t="s">
        <v>4</v>
      </c>
      <c r="V53" s="105" t="s">
        <v>5</v>
      </c>
      <c r="Z53" s="135"/>
      <c r="AA53" s="44" t="s">
        <v>468</v>
      </c>
      <c r="AB53" s="44" t="s">
        <v>469</v>
      </c>
      <c r="AC53" s="152" t="s">
        <v>467</v>
      </c>
      <c r="AG53" s="135"/>
      <c r="AH53" s="58" t="s">
        <v>468</v>
      </c>
      <c r="AI53" s="58" t="s">
        <v>469</v>
      </c>
      <c r="AJ53" s="187" t="s">
        <v>467</v>
      </c>
    </row>
    <row r="54" spans="1:36" ht="16.2" thickBot="1" x14ac:dyDescent="0.35">
      <c r="A54" s="41"/>
      <c r="B54" s="4"/>
      <c r="D54" s="41"/>
      <c r="E54" s="4"/>
      <c r="G54" s="41"/>
      <c r="H54" s="4"/>
      <c r="J54" s="41"/>
      <c r="M54" s="106" t="s">
        <v>233</v>
      </c>
      <c r="N54" s="107"/>
      <c r="O54" s="107"/>
      <c r="P54" s="107"/>
      <c r="Q54" s="107"/>
      <c r="R54" s="108" t="e">
        <f>N54/(N54+Q54)</f>
        <v>#DIV/0!</v>
      </c>
      <c r="S54" s="108" t="e">
        <f>O54/(O54+P54)</f>
        <v>#DIV/0!</v>
      </c>
      <c r="T54" s="108" t="e">
        <f>N54/(N54+P54)</f>
        <v>#DIV/0!</v>
      </c>
      <c r="U54" s="108" t="e">
        <f>O54/(O54+Q54)</f>
        <v>#DIV/0!</v>
      </c>
      <c r="V54" s="108" t="e">
        <f>(N54+O54)/(N54+O54+P54+Q54)</f>
        <v>#DIV/0!</v>
      </c>
      <c r="Z54" s="153" t="s">
        <v>465</v>
      </c>
      <c r="AA54" s="44">
        <v>43</v>
      </c>
      <c r="AB54" s="44">
        <v>0</v>
      </c>
      <c r="AC54" s="152">
        <f>SUM(AA54:AB54)</f>
        <v>43</v>
      </c>
      <c r="AG54" s="188" t="s">
        <v>465</v>
      </c>
      <c r="AH54" s="58">
        <v>0</v>
      </c>
      <c r="AI54" s="58">
        <v>0</v>
      </c>
      <c r="AJ54" s="187">
        <f>SUM(AH54:AI54)</f>
        <v>0</v>
      </c>
    </row>
    <row r="55" spans="1:36" ht="16.2" thickBot="1" x14ac:dyDescent="0.35">
      <c r="A55" s="4"/>
      <c r="B55" s="4"/>
      <c r="D55" s="4"/>
      <c r="E55" s="4"/>
      <c r="G55" s="4"/>
      <c r="H55" s="4"/>
      <c r="J55" s="4"/>
      <c r="M55" s="106" t="s">
        <v>8</v>
      </c>
      <c r="N55" s="107"/>
      <c r="O55" s="107"/>
      <c r="P55" s="107"/>
      <c r="Q55" s="107"/>
      <c r="R55" s="108" t="e">
        <f t="shared" ref="R55:R56" si="50">N55/(N55+Q55)</f>
        <v>#DIV/0!</v>
      </c>
      <c r="S55" s="108" t="e">
        <f t="shared" ref="S55:S56" si="51">O55/(O55+P55)</f>
        <v>#DIV/0!</v>
      </c>
      <c r="T55" s="108" t="e">
        <f t="shared" ref="T55:U56" si="52">N55/(N55+P55)</f>
        <v>#DIV/0!</v>
      </c>
      <c r="U55" s="108" t="e">
        <f t="shared" si="52"/>
        <v>#DIV/0!</v>
      </c>
      <c r="V55" s="108" t="e">
        <f t="shared" ref="V55:V56" si="53">(N55+O55)/(N55+O55+P55+Q55)</f>
        <v>#DIV/0!</v>
      </c>
      <c r="Z55" s="153" t="s">
        <v>466</v>
      </c>
      <c r="AA55" s="44">
        <v>9</v>
      </c>
      <c r="AB55" s="44">
        <v>0</v>
      </c>
      <c r="AC55" s="152">
        <f t="shared" ref="AC55" si="54">SUM(AA55:AB55)</f>
        <v>9</v>
      </c>
      <c r="AG55" s="188" t="s">
        <v>466</v>
      </c>
      <c r="AH55" s="58">
        <v>1</v>
      </c>
      <c r="AI55" s="58">
        <v>0</v>
      </c>
      <c r="AJ55" s="187">
        <f t="shared" ref="AJ55" si="55">SUM(AH55:AI55)</f>
        <v>1</v>
      </c>
    </row>
    <row r="56" spans="1:36" ht="16.2" thickBot="1" x14ac:dyDescent="0.35">
      <c r="A56" s="41"/>
      <c r="B56" s="4"/>
      <c r="D56" s="41"/>
      <c r="E56" s="4"/>
      <c r="G56" s="41"/>
      <c r="H56" s="4"/>
      <c r="J56" s="41"/>
      <c r="M56" s="106" t="s">
        <v>280</v>
      </c>
      <c r="N56" s="107"/>
      <c r="O56" s="107"/>
      <c r="P56" s="107"/>
      <c r="Q56" s="107"/>
      <c r="R56" s="108" t="e">
        <f t="shared" si="50"/>
        <v>#DIV/0!</v>
      </c>
      <c r="S56" s="108" t="e">
        <f t="shared" si="51"/>
        <v>#DIV/0!</v>
      </c>
      <c r="T56" s="108" t="e">
        <f t="shared" si="52"/>
        <v>#DIV/0!</v>
      </c>
      <c r="U56" s="108" t="e">
        <f t="shared" si="52"/>
        <v>#DIV/0!</v>
      </c>
      <c r="V56" s="108" t="e">
        <f t="shared" si="53"/>
        <v>#DIV/0!</v>
      </c>
      <c r="Z56" s="154" t="s">
        <v>467</v>
      </c>
      <c r="AA56" s="155">
        <f>SUM(AA54:AA55)</f>
        <v>52</v>
      </c>
      <c r="AB56" s="155">
        <f t="shared" ref="AB56:AC56" si="56">SUM(AB54:AB55)</f>
        <v>0</v>
      </c>
      <c r="AC56" s="156">
        <f t="shared" si="56"/>
        <v>52</v>
      </c>
      <c r="AG56" s="189" t="s">
        <v>467</v>
      </c>
      <c r="AH56" s="190">
        <f>SUM(AH54:AH55)</f>
        <v>1</v>
      </c>
      <c r="AI56" s="190">
        <f t="shared" ref="AI56:AJ56" si="57">SUM(AI54:AI55)</f>
        <v>0</v>
      </c>
      <c r="AJ56" s="191">
        <f t="shared" si="57"/>
        <v>1</v>
      </c>
    </row>
    <row r="57" spans="1:36" ht="15.6" x14ac:dyDescent="0.3">
      <c r="A57" s="41"/>
      <c r="B57" s="4"/>
      <c r="D57" s="41"/>
      <c r="E57" s="4"/>
      <c r="G57" s="41"/>
      <c r="H57" s="4"/>
      <c r="J57" s="41"/>
      <c r="M57" s="129"/>
      <c r="N57" s="41"/>
      <c r="O57" s="41"/>
      <c r="P57" s="41"/>
      <c r="Q57" s="41"/>
      <c r="R57" s="42"/>
      <c r="S57" s="42"/>
      <c r="T57" s="42"/>
      <c r="U57" s="42"/>
      <c r="V57" s="42"/>
      <c r="Z57" s="18"/>
      <c r="AA57" s="18"/>
      <c r="AB57" s="18"/>
      <c r="AC57" s="18"/>
      <c r="AG57" s="192"/>
      <c r="AH57" s="192"/>
      <c r="AI57" s="192"/>
      <c r="AJ57" s="192"/>
    </row>
    <row r="58" spans="1:36" ht="16.2" thickBot="1" x14ac:dyDescent="0.35">
      <c r="A58" s="41"/>
      <c r="B58" s="4"/>
      <c r="D58" s="41"/>
      <c r="E58" s="4"/>
      <c r="G58" s="41"/>
      <c r="H58" s="4"/>
      <c r="J58" s="41"/>
      <c r="M58" s="129"/>
      <c r="N58" s="41"/>
      <c r="O58" s="41"/>
      <c r="P58" s="41"/>
      <c r="Q58" s="41"/>
      <c r="R58" s="42"/>
      <c r="S58" s="42"/>
      <c r="T58" s="42"/>
      <c r="U58" s="42"/>
      <c r="V58" s="42"/>
      <c r="Z58" s="18"/>
      <c r="AA58" s="18"/>
      <c r="AB58" s="18"/>
      <c r="AC58" s="18"/>
      <c r="AG58" s="192"/>
      <c r="AH58" s="192"/>
      <c r="AI58" s="192"/>
      <c r="AJ58" s="192"/>
    </row>
    <row r="59" spans="1:36" ht="16.2" thickBot="1" x14ac:dyDescent="0.35">
      <c r="A59" s="41"/>
      <c r="B59" s="4"/>
      <c r="D59" s="41"/>
      <c r="E59" s="4"/>
      <c r="G59" s="41"/>
      <c r="H59" s="4"/>
      <c r="J59" s="41"/>
      <c r="M59" s="253" t="s">
        <v>489</v>
      </c>
      <c r="N59" s="254"/>
      <c r="O59" s="254"/>
      <c r="P59" s="254"/>
      <c r="Q59" s="254"/>
      <c r="R59" s="254"/>
      <c r="S59" s="254"/>
      <c r="T59" s="254"/>
      <c r="U59" s="254"/>
      <c r="V59" s="255"/>
      <c r="Z59" s="268" t="s">
        <v>496</v>
      </c>
      <c r="AA59" s="269"/>
      <c r="AB59" s="269"/>
      <c r="AC59" s="270"/>
      <c r="AG59" s="286" t="s">
        <v>532</v>
      </c>
      <c r="AH59" s="287"/>
      <c r="AI59" s="287"/>
      <c r="AJ59" s="288"/>
    </row>
    <row r="60" spans="1:36" ht="16.2" thickBot="1" x14ac:dyDescent="0.35">
      <c r="A60" s="4"/>
      <c r="B60" s="4"/>
      <c r="D60" s="4"/>
      <c r="E60" s="4"/>
      <c r="G60" s="4"/>
      <c r="H60" s="4"/>
      <c r="J60" s="4"/>
      <c r="M60" s="109" t="s">
        <v>0</v>
      </c>
      <c r="N60" s="110" t="s">
        <v>11</v>
      </c>
      <c r="O60" s="110" t="s">
        <v>12</v>
      </c>
      <c r="P60" s="110" t="s">
        <v>13</v>
      </c>
      <c r="Q60" s="110" t="s">
        <v>14</v>
      </c>
      <c r="R60" s="110" t="s">
        <v>1</v>
      </c>
      <c r="S60" s="110" t="s">
        <v>2</v>
      </c>
      <c r="T60" s="110" t="s">
        <v>3</v>
      </c>
      <c r="U60" s="110" t="s">
        <v>4</v>
      </c>
      <c r="V60" s="110" t="s">
        <v>5</v>
      </c>
      <c r="Z60" s="135"/>
      <c r="AA60" s="44" t="s">
        <v>468</v>
      </c>
      <c r="AB60" s="44" t="s">
        <v>469</v>
      </c>
      <c r="AC60" s="152" t="s">
        <v>467</v>
      </c>
      <c r="AG60" s="135"/>
      <c r="AH60" s="58" t="s">
        <v>468</v>
      </c>
      <c r="AI60" s="58" t="s">
        <v>469</v>
      </c>
      <c r="AJ60" s="187" t="s">
        <v>467</v>
      </c>
    </row>
    <row r="61" spans="1:36" ht="16.2" thickBot="1" x14ac:dyDescent="0.35">
      <c r="A61" s="41"/>
      <c r="B61" s="4"/>
      <c r="D61" s="41"/>
      <c r="E61" s="4"/>
      <c r="G61" s="41"/>
      <c r="H61" s="4"/>
      <c r="J61" s="41"/>
      <c r="M61" s="111" t="s">
        <v>233</v>
      </c>
      <c r="N61" s="112"/>
      <c r="O61" s="112"/>
      <c r="P61" s="112"/>
      <c r="Q61" s="112"/>
      <c r="R61" s="113" t="e">
        <f>N61/(N61+Q61)</f>
        <v>#DIV/0!</v>
      </c>
      <c r="S61" s="113" t="e">
        <f>O61/(O61+P61)</f>
        <v>#DIV/0!</v>
      </c>
      <c r="T61" s="113" t="e">
        <f>N61/(N61+P61)</f>
        <v>#DIV/0!</v>
      </c>
      <c r="U61" s="113" t="e">
        <f>O61/(O61+Q61)</f>
        <v>#DIV/0!</v>
      </c>
      <c r="V61" s="113" t="e">
        <f>(N61+O61)/(N61+O61+P61+Q61)</f>
        <v>#DIV/0!</v>
      </c>
      <c r="Z61" s="153" t="s">
        <v>465</v>
      </c>
      <c r="AA61" s="44">
        <v>38</v>
      </c>
      <c r="AB61" s="44">
        <v>5</v>
      </c>
      <c r="AC61" s="152">
        <f>SUM(AA61:AB61)</f>
        <v>43</v>
      </c>
      <c r="AG61" s="188" t="s">
        <v>465</v>
      </c>
      <c r="AH61" s="58">
        <v>0</v>
      </c>
      <c r="AI61" s="58">
        <v>0</v>
      </c>
      <c r="AJ61" s="187">
        <f>SUM(AH61:AI61)</f>
        <v>0</v>
      </c>
    </row>
    <row r="62" spans="1:36" ht="16.2" thickBot="1" x14ac:dyDescent="0.35">
      <c r="A62" s="41"/>
      <c r="B62" s="4"/>
      <c r="D62" s="41"/>
      <c r="E62" s="4"/>
      <c r="G62" s="41"/>
      <c r="H62" s="4"/>
      <c r="J62" s="41"/>
      <c r="M62" s="111" t="s">
        <v>8</v>
      </c>
      <c r="N62" s="112"/>
      <c r="O62" s="112"/>
      <c r="P62" s="112"/>
      <c r="Q62" s="112"/>
      <c r="R62" s="113" t="e">
        <f t="shared" ref="R62:R63" si="58">N62/(N62+Q62)</f>
        <v>#DIV/0!</v>
      </c>
      <c r="S62" s="113" t="e">
        <f t="shared" ref="S62:S63" si="59">O62/(O62+P62)</f>
        <v>#DIV/0!</v>
      </c>
      <c r="T62" s="113" t="e">
        <f t="shared" ref="T62:U63" si="60">N62/(N62+P62)</f>
        <v>#DIV/0!</v>
      </c>
      <c r="U62" s="113" t="e">
        <f t="shared" si="60"/>
        <v>#DIV/0!</v>
      </c>
      <c r="V62" s="113" t="e">
        <f t="shared" ref="V62:V63" si="61">(N62+O62)/(N62+O62+P62+Q62)</f>
        <v>#DIV/0!</v>
      </c>
      <c r="Z62" s="153" t="s">
        <v>466</v>
      </c>
      <c r="AA62" s="44">
        <v>2</v>
      </c>
      <c r="AB62" s="44">
        <v>7</v>
      </c>
      <c r="AC62" s="152">
        <f t="shared" ref="AC62:AC63" si="62">SUM(AA62:AB62)</f>
        <v>9</v>
      </c>
      <c r="AG62" s="188" t="s">
        <v>466</v>
      </c>
      <c r="AH62" s="58">
        <v>1</v>
      </c>
      <c r="AI62" s="58">
        <v>0</v>
      </c>
      <c r="AJ62" s="187">
        <f t="shared" ref="AJ62:AJ63" si="63">SUM(AH62:AI62)</f>
        <v>1</v>
      </c>
    </row>
    <row r="63" spans="1:36" ht="16.2" thickBot="1" x14ac:dyDescent="0.35">
      <c r="A63" s="41"/>
      <c r="B63" s="4"/>
      <c r="D63" s="41"/>
      <c r="E63" s="4"/>
      <c r="G63" s="41"/>
      <c r="H63" s="4"/>
      <c r="J63" s="41"/>
      <c r="M63" s="111" t="s">
        <v>280</v>
      </c>
      <c r="N63" s="112"/>
      <c r="O63" s="112"/>
      <c r="P63" s="112"/>
      <c r="Q63" s="112"/>
      <c r="R63" s="113" t="e">
        <f t="shared" si="58"/>
        <v>#DIV/0!</v>
      </c>
      <c r="S63" s="113" t="e">
        <f t="shared" si="59"/>
        <v>#DIV/0!</v>
      </c>
      <c r="T63" s="113" t="e">
        <f t="shared" si="60"/>
        <v>#DIV/0!</v>
      </c>
      <c r="U63" s="113" t="e">
        <f t="shared" si="60"/>
        <v>#DIV/0!</v>
      </c>
      <c r="V63" s="113" t="e">
        <f t="shared" si="61"/>
        <v>#DIV/0!</v>
      </c>
      <c r="Z63" s="154" t="s">
        <v>467</v>
      </c>
      <c r="AA63" s="155">
        <f>SUM(AA61:AA62)</f>
        <v>40</v>
      </c>
      <c r="AB63" s="155">
        <f t="shared" ref="AB63" si="64">SUM(AB61:AB62)</f>
        <v>12</v>
      </c>
      <c r="AC63" s="156">
        <f t="shared" si="62"/>
        <v>52</v>
      </c>
      <c r="AG63" s="189" t="s">
        <v>467</v>
      </c>
      <c r="AH63" s="190">
        <f>SUM(AH61:AH62)</f>
        <v>1</v>
      </c>
      <c r="AI63" s="190">
        <f t="shared" ref="AI63" si="65">SUM(AI61:AI62)</f>
        <v>0</v>
      </c>
      <c r="AJ63" s="191">
        <f t="shared" si="63"/>
        <v>1</v>
      </c>
    </row>
    <row r="64" spans="1:36" ht="15.6" x14ac:dyDescent="0.3">
      <c r="A64" s="41"/>
      <c r="B64" s="4"/>
      <c r="D64" s="41"/>
      <c r="E64" s="4"/>
      <c r="G64" s="41"/>
      <c r="H64" s="4"/>
      <c r="J64" s="41"/>
      <c r="M64" s="129"/>
      <c r="N64" s="41"/>
      <c r="O64" s="41"/>
      <c r="P64" s="41"/>
      <c r="Q64" s="41"/>
      <c r="R64" s="42"/>
      <c r="S64" s="42"/>
      <c r="T64" s="42"/>
      <c r="U64" s="42"/>
      <c r="V64" s="42"/>
    </row>
    <row r="65" spans="4:36" ht="16.2" thickBot="1" x14ac:dyDescent="0.35">
      <c r="M65" s="129"/>
      <c r="N65" s="41"/>
      <c r="O65" s="41"/>
      <c r="P65" s="41"/>
      <c r="Q65" s="41"/>
      <c r="R65" s="42"/>
      <c r="S65" s="42"/>
      <c r="T65" s="42"/>
      <c r="U65" s="42"/>
      <c r="V65" s="42"/>
    </row>
    <row r="66" spans="4:36" ht="16.2" thickBot="1" x14ac:dyDescent="0.35">
      <c r="M66" s="256" t="s">
        <v>482</v>
      </c>
      <c r="N66" s="257"/>
      <c r="O66" s="257"/>
      <c r="P66" s="257"/>
      <c r="Q66" s="257"/>
      <c r="R66" s="257"/>
      <c r="S66" s="257"/>
      <c r="T66" s="257"/>
      <c r="U66" s="257"/>
      <c r="V66" s="258"/>
      <c r="Z66" s="271" t="s">
        <v>503</v>
      </c>
      <c r="AA66" s="272"/>
      <c r="AB66" s="272"/>
      <c r="AC66" s="273"/>
      <c r="AG66" s="289" t="s">
        <v>507</v>
      </c>
      <c r="AH66" s="290"/>
      <c r="AI66" s="290"/>
      <c r="AJ66" s="291"/>
    </row>
    <row r="67" spans="4:36" ht="16.2" thickBot="1" x14ac:dyDescent="0.35">
      <c r="D67" s="41"/>
      <c r="E67" s="4"/>
      <c r="G67" s="41"/>
      <c r="H67" s="4"/>
      <c r="J67" s="41"/>
      <c r="M67" s="114" t="s">
        <v>0</v>
      </c>
      <c r="N67" s="115" t="s">
        <v>11</v>
      </c>
      <c r="O67" s="115" t="s">
        <v>12</v>
      </c>
      <c r="P67" s="115" t="s">
        <v>13</v>
      </c>
      <c r="Q67" s="115" t="s">
        <v>14</v>
      </c>
      <c r="R67" s="115" t="s">
        <v>1</v>
      </c>
      <c r="S67" s="115" t="s">
        <v>2</v>
      </c>
      <c r="T67" s="115" t="s">
        <v>3</v>
      </c>
      <c r="U67" s="115" t="s">
        <v>4</v>
      </c>
      <c r="V67" s="115" t="s">
        <v>5</v>
      </c>
      <c r="Z67" s="135"/>
      <c r="AA67" s="46" t="s">
        <v>468</v>
      </c>
      <c r="AB67" s="46" t="s">
        <v>469</v>
      </c>
      <c r="AC67" s="157" t="s">
        <v>467</v>
      </c>
      <c r="AG67" s="135"/>
      <c r="AH67" s="64" t="s">
        <v>468</v>
      </c>
      <c r="AI67" s="64" t="s">
        <v>469</v>
      </c>
      <c r="AJ67" s="193" t="s">
        <v>467</v>
      </c>
    </row>
    <row r="68" spans="4:36" ht="16.2" thickBot="1" x14ac:dyDescent="0.35">
      <c r="D68" s="41"/>
      <c r="E68" s="4"/>
      <c r="G68" s="41"/>
      <c r="H68" s="4"/>
      <c r="J68" s="41"/>
      <c r="M68" s="116" t="s">
        <v>233</v>
      </c>
      <c r="N68" s="117"/>
      <c r="O68" s="117"/>
      <c r="P68" s="117"/>
      <c r="Q68" s="117"/>
      <c r="R68" s="118" t="e">
        <f>N68/(N68+Q68)</f>
        <v>#DIV/0!</v>
      </c>
      <c r="S68" s="118" t="e">
        <f>O68/(O68+P68)</f>
        <v>#DIV/0!</v>
      </c>
      <c r="T68" s="118" t="e">
        <f>N68/(N68+P68)</f>
        <v>#DIV/0!</v>
      </c>
      <c r="U68" s="118" t="e">
        <f>O68/(O68+Q68)</f>
        <v>#DIV/0!</v>
      </c>
      <c r="V68" s="118" t="e">
        <f>(N68+O68)/(N68+O68+P68+Q68)</f>
        <v>#DIV/0!</v>
      </c>
      <c r="Z68" s="158" t="s">
        <v>465</v>
      </c>
      <c r="AA68" s="46">
        <v>5</v>
      </c>
      <c r="AB68" s="46">
        <v>0</v>
      </c>
      <c r="AC68" s="157">
        <f>SUM(AA68:AB68)</f>
        <v>5</v>
      </c>
      <c r="AG68" s="194" t="s">
        <v>465</v>
      </c>
      <c r="AH68" s="64">
        <v>7</v>
      </c>
      <c r="AI68" s="64">
        <v>3</v>
      </c>
      <c r="AJ68" s="193">
        <f>SUM(AH68:AI68)</f>
        <v>10</v>
      </c>
    </row>
    <row r="69" spans="4:36" ht="16.2" thickBot="1" x14ac:dyDescent="0.35">
      <c r="D69" s="41"/>
      <c r="E69" s="4"/>
      <c r="G69" s="41"/>
      <c r="H69" s="4"/>
      <c r="J69" s="41"/>
      <c r="M69" s="116" t="s">
        <v>8</v>
      </c>
      <c r="N69" s="117"/>
      <c r="O69" s="117"/>
      <c r="P69" s="117"/>
      <c r="Q69" s="117"/>
      <c r="R69" s="118" t="e">
        <f t="shared" ref="R69:R70" si="66">N69/(N69+Q69)</f>
        <v>#DIV/0!</v>
      </c>
      <c r="S69" s="118" t="e">
        <f t="shared" ref="S69:S70" si="67">O69/(O69+P69)</f>
        <v>#DIV/0!</v>
      </c>
      <c r="T69" s="118" t="e">
        <f t="shared" ref="T69:U70" si="68">N69/(N69+P69)</f>
        <v>#DIV/0!</v>
      </c>
      <c r="U69" s="118" t="e">
        <f t="shared" si="68"/>
        <v>#DIV/0!</v>
      </c>
      <c r="V69" s="118" t="e">
        <f t="shared" ref="V69:V70" si="69">(N69+O69)/(N69+O69+P69+Q69)</f>
        <v>#DIV/0!</v>
      </c>
      <c r="Z69" s="158" t="s">
        <v>466</v>
      </c>
      <c r="AA69" s="46">
        <v>1</v>
      </c>
      <c r="AB69" s="46">
        <v>1</v>
      </c>
      <c r="AC69" s="157">
        <f t="shared" ref="AC69:AC70" si="70">SUM(AA69:AB69)</f>
        <v>2</v>
      </c>
      <c r="AG69" s="194" t="s">
        <v>466</v>
      </c>
      <c r="AH69" s="64">
        <v>0</v>
      </c>
      <c r="AI69" s="64">
        <v>1</v>
      </c>
      <c r="AJ69" s="193">
        <f t="shared" ref="AJ69:AJ70" si="71">SUM(AH69:AI69)</f>
        <v>1</v>
      </c>
    </row>
    <row r="70" spans="4:36" ht="16.2" thickBot="1" x14ac:dyDescent="0.35">
      <c r="D70" s="41"/>
      <c r="E70" s="4"/>
      <c r="G70" s="41"/>
      <c r="H70" s="4"/>
      <c r="J70" s="41"/>
      <c r="M70" s="116" t="s">
        <v>280</v>
      </c>
      <c r="N70" s="117"/>
      <c r="O70" s="117"/>
      <c r="P70" s="117"/>
      <c r="Q70" s="117"/>
      <c r="R70" s="118" t="e">
        <f t="shared" si="66"/>
        <v>#DIV/0!</v>
      </c>
      <c r="S70" s="118" t="e">
        <f t="shared" si="67"/>
        <v>#DIV/0!</v>
      </c>
      <c r="T70" s="118" t="e">
        <f t="shared" si="68"/>
        <v>#DIV/0!</v>
      </c>
      <c r="U70" s="118" t="e">
        <f t="shared" si="68"/>
        <v>#DIV/0!</v>
      </c>
      <c r="V70" s="118" t="e">
        <f t="shared" si="69"/>
        <v>#DIV/0!</v>
      </c>
      <c r="Z70" s="159" t="s">
        <v>467</v>
      </c>
      <c r="AA70" s="160">
        <f>SUM(AA68:AA69)</f>
        <v>6</v>
      </c>
      <c r="AB70" s="160">
        <f>SUM(AB68:AB69)</f>
        <v>1</v>
      </c>
      <c r="AC70" s="161">
        <f t="shared" si="70"/>
        <v>7</v>
      </c>
      <c r="AG70" s="195" t="s">
        <v>467</v>
      </c>
      <c r="AH70" s="196">
        <f>SUM(AH68:AH69)</f>
        <v>7</v>
      </c>
      <c r="AI70" s="196">
        <f>SUM(AI68:AI69)</f>
        <v>4</v>
      </c>
      <c r="AJ70" s="197">
        <f t="shared" si="71"/>
        <v>11</v>
      </c>
    </row>
    <row r="71" spans="4:36" ht="15.6" x14ac:dyDescent="0.3">
      <c r="D71" s="4"/>
      <c r="E71" s="4"/>
      <c r="G71" s="4"/>
      <c r="H71" s="4"/>
      <c r="J71" s="4"/>
      <c r="M71" s="129"/>
      <c r="N71" s="41"/>
      <c r="O71" s="41"/>
      <c r="P71" s="41"/>
      <c r="Q71" s="41"/>
      <c r="R71" s="42"/>
      <c r="S71" s="42"/>
      <c r="T71" s="42"/>
      <c r="U71" s="42"/>
      <c r="V71" s="42"/>
      <c r="Z71" s="162"/>
      <c r="AA71" s="162"/>
      <c r="AB71" s="162"/>
      <c r="AC71" s="162"/>
      <c r="AG71" s="12"/>
      <c r="AH71" s="12"/>
      <c r="AI71" s="12"/>
      <c r="AJ71" s="12"/>
    </row>
    <row r="72" spans="4:36" ht="16.2" thickBot="1" x14ac:dyDescent="0.35">
      <c r="D72" s="41"/>
      <c r="E72" s="4"/>
      <c r="G72" s="41"/>
      <c r="H72" s="4"/>
      <c r="J72" s="41"/>
      <c r="M72" s="129"/>
      <c r="N72" s="41"/>
      <c r="O72" s="41"/>
      <c r="P72" s="41"/>
      <c r="Q72" s="41"/>
      <c r="R72" s="42"/>
      <c r="S72" s="42"/>
      <c r="T72" s="42"/>
      <c r="U72" s="42"/>
      <c r="V72" s="42"/>
      <c r="Z72" s="162"/>
      <c r="AA72" s="162"/>
      <c r="AB72" s="162"/>
      <c r="AC72" s="162"/>
      <c r="AG72" s="12"/>
      <c r="AH72" s="12"/>
      <c r="AI72" s="12"/>
      <c r="AJ72" s="12"/>
    </row>
    <row r="73" spans="4:36" ht="16.2" thickBot="1" x14ac:dyDescent="0.35">
      <c r="D73" s="41"/>
      <c r="E73" s="4"/>
      <c r="G73" s="41"/>
      <c r="H73" s="4"/>
      <c r="J73" s="41"/>
      <c r="M73" s="259" t="s">
        <v>490</v>
      </c>
      <c r="N73" s="260"/>
      <c r="O73" s="260"/>
      <c r="P73" s="260"/>
      <c r="Q73" s="260"/>
      <c r="R73" s="260"/>
      <c r="S73" s="260"/>
      <c r="T73" s="260"/>
      <c r="U73" s="260"/>
      <c r="V73" s="261"/>
      <c r="Z73" s="271" t="s">
        <v>504</v>
      </c>
      <c r="AA73" s="272"/>
      <c r="AB73" s="272"/>
      <c r="AC73" s="273"/>
      <c r="AG73" s="289" t="s">
        <v>508</v>
      </c>
      <c r="AH73" s="290"/>
      <c r="AI73" s="290"/>
      <c r="AJ73" s="291"/>
    </row>
    <row r="74" spans="4:36" ht="16.2" thickBot="1" x14ac:dyDescent="0.35">
      <c r="D74" s="41"/>
      <c r="E74" s="4"/>
      <c r="G74" s="41"/>
      <c r="H74" s="4"/>
      <c r="J74" s="41"/>
      <c r="M74" s="119" t="s">
        <v>0</v>
      </c>
      <c r="N74" s="120" t="s">
        <v>11</v>
      </c>
      <c r="O74" s="120" t="s">
        <v>12</v>
      </c>
      <c r="P74" s="120" t="s">
        <v>13</v>
      </c>
      <c r="Q74" s="120" t="s">
        <v>14</v>
      </c>
      <c r="R74" s="120" t="s">
        <v>1</v>
      </c>
      <c r="S74" s="120" t="s">
        <v>2</v>
      </c>
      <c r="T74" s="120" t="s">
        <v>3</v>
      </c>
      <c r="U74" s="120" t="s">
        <v>4</v>
      </c>
      <c r="V74" s="120" t="s">
        <v>5</v>
      </c>
      <c r="Z74" s="135"/>
      <c r="AA74" s="46" t="s">
        <v>468</v>
      </c>
      <c r="AB74" s="46" t="s">
        <v>469</v>
      </c>
      <c r="AC74" s="157" t="s">
        <v>467</v>
      </c>
      <c r="AG74" s="135"/>
      <c r="AH74" s="64" t="s">
        <v>468</v>
      </c>
      <c r="AI74" s="64" t="s">
        <v>469</v>
      </c>
      <c r="AJ74" s="193" t="s">
        <v>467</v>
      </c>
    </row>
    <row r="75" spans="4:36" ht="16.2" thickBot="1" x14ac:dyDescent="0.35">
      <c r="D75" s="41"/>
      <c r="E75" s="4"/>
      <c r="G75" s="41"/>
      <c r="H75" s="4"/>
      <c r="J75" s="41"/>
      <c r="M75" s="121" t="s">
        <v>233</v>
      </c>
      <c r="N75" s="122"/>
      <c r="O75" s="122"/>
      <c r="P75" s="122"/>
      <c r="Q75" s="122"/>
      <c r="R75" s="123" t="e">
        <f>N75/(N75+Q75)</f>
        <v>#DIV/0!</v>
      </c>
      <c r="S75" s="123" t="e">
        <f>O75/(O75+P75)</f>
        <v>#DIV/0!</v>
      </c>
      <c r="T75" s="123" t="e">
        <f>N75/(N75+P75)</f>
        <v>#DIV/0!</v>
      </c>
      <c r="U75" s="123" t="e">
        <f>O75/(O75+Q75)</f>
        <v>#DIV/0!</v>
      </c>
      <c r="V75" s="123" t="e">
        <f>(N75+O75)/(N75+O75+P75+Q75)</f>
        <v>#DIV/0!</v>
      </c>
      <c r="Z75" s="158" t="s">
        <v>465</v>
      </c>
      <c r="AA75" s="46">
        <v>5</v>
      </c>
      <c r="AB75" s="46">
        <v>0</v>
      </c>
      <c r="AC75" s="157">
        <f>SUM(AA75:AB75)</f>
        <v>5</v>
      </c>
      <c r="AG75" s="194" t="s">
        <v>465</v>
      </c>
      <c r="AH75" s="64">
        <v>7</v>
      </c>
      <c r="AI75" s="64">
        <v>3</v>
      </c>
      <c r="AJ75" s="193">
        <f>SUM(AH75:AI75)</f>
        <v>10</v>
      </c>
    </row>
    <row r="76" spans="4:36" ht="16.2" thickBot="1" x14ac:dyDescent="0.35">
      <c r="D76" s="4"/>
      <c r="E76" s="4"/>
      <c r="G76" s="4"/>
      <c r="H76" s="4"/>
      <c r="J76" s="4"/>
      <c r="M76" s="121" t="s">
        <v>8</v>
      </c>
      <c r="N76" s="122"/>
      <c r="O76" s="122"/>
      <c r="P76" s="122"/>
      <c r="Q76" s="122"/>
      <c r="R76" s="123" t="e">
        <f t="shared" ref="R76:R77" si="72">N76/(N76+Q76)</f>
        <v>#DIV/0!</v>
      </c>
      <c r="S76" s="123" t="e">
        <f t="shared" ref="S76:S77" si="73">O76/(O76+P76)</f>
        <v>#DIV/0!</v>
      </c>
      <c r="T76" s="123" t="e">
        <f t="shared" ref="T76:U77" si="74">N76/(N76+P76)</f>
        <v>#DIV/0!</v>
      </c>
      <c r="U76" s="123" t="e">
        <f t="shared" si="74"/>
        <v>#DIV/0!</v>
      </c>
      <c r="V76" s="123" t="e">
        <f t="shared" ref="V76:V77" si="75">(N76+O76)/(N76+O76+P76+Q76)</f>
        <v>#DIV/0!</v>
      </c>
      <c r="Z76" s="158" t="s">
        <v>466</v>
      </c>
      <c r="AA76" s="46">
        <v>2</v>
      </c>
      <c r="AB76" s="46">
        <v>0</v>
      </c>
      <c r="AC76" s="157">
        <f t="shared" ref="AC76" si="76">SUM(AA76:AB76)</f>
        <v>2</v>
      </c>
      <c r="AG76" s="194" t="s">
        <v>466</v>
      </c>
      <c r="AH76" s="64">
        <v>1</v>
      </c>
      <c r="AI76" s="64">
        <v>0</v>
      </c>
      <c r="AJ76" s="193">
        <f t="shared" ref="AJ76" si="77">SUM(AH76:AI76)</f>
        <v>1</v>
      </c>
    </row>
    <row r="77" spans="4:36" ht="16.2" thickBot="1" x14ac:dyDescent="0.35">
      <c r="D77" s="41"/>
      <c r="E77" s="4"/>
      <c r="G77" s="41"/>
      <c r="H77" s="4"/>
      <c r="J77" s="41"/>
      <c r="M77" s="121" t="s">
        <v>280</v>
      </c>
      <c r="N77" s="122"/>
      <c r="O77" s="122"/>
      <c r="P77" s="122"/>
      <c r="Q77" s="122"/>
      <c r="R77" s="123" t="e">
        <f t="shared" si="72"/>
        <v>#DIV/0!</v>
      </c>
      <c r="S77" s="123" t="e">
        <f t="shared" si="73"/>
        <v>#DIV/0!</v>
      </c>
      <c r="T77" s="123" t="e">
        <f t="shared" si="74"/>
        <v>#DIV/0!</v>
      </c>
      <c r="U77" s="123" t="e">
        <f t="shared" si="74"/>
        <v>#DIV/0!</v>
      </c>
      <c r="V77" s="123" t="e">
        <f t="shared" si="75"/>
        <v>#DIV/0!</v>
      </c>
      <c r="Z77" s="159" t="s">
        <v>467</v>
      </c>
      <c r="AA77" s="160">
        <f>SUM(AA75:AA76)</f>
        <v>7</v>
      </c>
      <c r="AB77" s="160">
        <f t="shared" ref="AB77:AC77" si="78">SUM(AB75:AB76)</f>
        <v>0</v>
      </c>
      <c r="AC77" s="161">
        <f t="shared" si="78"/>
        <v>7</v>
      </c>
      <c r="AG77" s="195" t="s">
        <v>467</v>
      </c>
      <c r="AH77" s="196">
        <f>SUM(AH75:AH76)</f>
        <v>8</v>
      </c>
      <c r="AI77" s="196">
        <f t="shared" ref="AI77:AJ77" si="79">SUM(AI75:AI76)</f>
        <v>3</v>
      </c>
      <c r="AJ77" s="197">
        <f t="shared" si="79"/>
        <v>11</v>
      </c>
    </row>
    <row r="78" spans="4:36" ht="15.6" x14ac:dyDescent="0.3">
      <c r="D78" s="41"/>
      <c r="E78" s="4"/>
      <c r="G78" s="41"/>
      <c r="H78" s="4"/>
      <c r="J78" s="41"/>
      <c r="M78" s="129"/>
      <c r="N78" s="41"/>
      <c r="O78" s="41"/>
      <c r="P78" s="41"/>
      <c r="Q78" s="41"/>
      <c r="R78" s="42"/>
      <c r="S78" s="42"/>
      <c r="T78" s="42"/>
      <c r="U78" s="42"/>
      <c r="V78" s="42"/>
      <c r="Z78" s="162"/>
      <c r="AA78" s="162"/>
      <c r="AB78" s="162"/>
      <c r="AC78" s="162"/>
      <c r="AG78" s="12"/>
      <c r="AH78" s="12"/>
      <c r="AI78" s="12"/>
      <c r="AJ78" s="12"/>
    </row>
    <row r="79" spans="4:36" ht="16.2" thickBot="1" x14ac:dyDescent="0.35">
      <c r="D79" s="41"/>
      <c r="E79" s="4"/>
      <c r="G79" s="41"/>
      <c r="H79" s="4"/>
      <c r="J79" s="41"/>
      <c r="Z79" s="162"/>
      <c r="AA79" s="162"/>
      <c r="AB79" s="162"/>
      <c r="AC79" s="162"/>
      <c r="AG79" s="12"/>
      <c r="AH79" s="12"/>
      <c r="AI79" s="12"/>
      <c r="AJ79" s="12"/>
    </row>
    <row r="80" spans="4:36" ht="16.2" thickBot="1" x14ac:dyDescent="0.35">
      <c r="D80" s="41"/>
      <c r="E80" s="4"/>
      <c r="G80" s="41"/>
      <c r="H80" s="4"/>
      <c r="J80" s="41"/>
      <c r="M80" s="238" t="s">
        <v>487</v>
      </c>
      <c r="N80" s="239"/>
      <c r="O80" s="239"/>
      <c r="P80" s="239"/>
      <c r="Q80" s="239"/>
      <c r="R80" s="239"/>
      <c r="S80" s="239"/>
      <c r="T80" s="239"/>
      <c r="U80" s="239"/>
      <c r="V80" s="240"/>
      <c r="Z80" s="271" t="s">
        <v>505</v>
      </c>
      <c r="AA80" s="272"/>
      <c r="AB80" s="272"/>
      <c r="AC80" s="273"/>
      <c r="AG80" s="289" t="s">
        <v>509</v>
      </c>
      <c r="AH80" s="290"/>
      <c r="AI80" s="290"/>
      <c r="AJ80" s="291"/>
    </row>
    <row r="81" spans="4:36" ht="16.2" thickBot="1" x14ac:dyDescent="0.35">
      <c r="M81" s="124" t="s">
        <v>0</v>
      </c>
      <c r="N81" s="125" t="s">
        <v>11</v>
      </c>
      <c r="O81" s="125" t="s">
        <v>12</v>
      </c>
      <c r="P81" s="125" t="s">
        <v>13</v>
      </c>
      <c r="Q81" s="125" t="s">
        <v>14</v>
      </c>
      <c r="R81" s="125" t="s">
        <v>1</v>
      </c>
      <c r="S81" s="125" t="s">
        <v>2</v>
      </c>
      <c r="T81" s="125" t="s">
        <v>3</v>
      </c>
      <c r="U81" s="125" t="s">
        <v>4</v>
      </c>
      <c r="V81" s="125" t="s">
        <v>5</v>
      </c>
      <c r="Z81" s="135"/>
      <c r="AA81" s="46" t="s">
        <v>468</v>
      </c>
      <c r="AB81" s="46" t="s">
        <v>469</v>
      </c>
      <c r="AC81" s="157" t="s">
        <v>467</v>
      </c>
      <c r="AG81" s="135"/>
      <c r="AH81" s="64" t="s">
        <v>468</v>
      </c>
      <c r="AI81" s="64" t="s">
        <v>469</v>
      </c>
      <c r="AJ81" s="193" t="s">
        <v>467</v>
      </c>
    </row>
    <row r="82" spans="4:36" ht="16.2" thickBot="1" x14ac:dyDescent="0.35">
      <c r="M82" s="126" t="s">
        <v>233</v>
      </c>
      <c r="N82" s="127"/>
      <c r="O82" s="127"/>
      <c r="P82" s="127"/>
      <c r="Q82" s="127"/>
      <c r="R82" s="128" t="e">
        <f>N82/(N82+Q82)</f>
        <v>#DIV/0!</v>
      </c>
      <c r="S82" s="128" t="e">
        <f>O82/(O82+P82)</f>
        <v>#DIV/0!</v>
      </c>
      <c r="T82" s="128" t="e">
        <f>N82/(N82+P82)</f>
        <v>#DIV/0!</v>
      </c>
      <c r="U82" s="128" t="e">
        <f>O82/(O82+Q82)</f>
        <v>#DIV/0!</v>
      </c>
      <c r="V82" s="128" t="e">
        <f>(N82+O82)/(N82+O82+P82+Q82)</f>
        <v>#DIV/0!</v>
      </c>
      <c r="Z82" s="158" t="s">
        <v>465</v>
      </c>
      <c r="AA82" s="46">
        <v>3</v>
      </c>
      <c r="AB82" s="46">
        <v>2</v>
      </c>
      <c r="AC82" s="157">
        <f>SUM(AA82:AB82)</f>
        <v>5</v>
      </c>
      <c r="AG82" s="194" t="s">
        <v>465</v>
      </c>
      <c r="AH82" s="64">
        <v>9</v>
      </c>
      <c r="AI82" s="64">
        <v>1</v>
      </c>
      <c r="AJ82" s="193">
        <f>SUM(AH82:AI82)</f>
        <v>10</v>
      </c>
    </row>
    <row r="83" spans="4:36" ht="16.2" thickBot="1" x14ac:dyDescent="0.35">
      <c r="D83" s="41"/>
      <c r="E83" s="4"/>
      <c r="G83" s="41"/>
      <c r="H83" s="4"/>
      <c r="J83" s="41"/>
      <c r="M83" s="126" t="s">
        <v>8</v>
      </c>
      <c r="N83" s="127"/>
      <c r="O83" s="127"/>
      <c r="P83" s="127"/>
      <c r="Q83" s="127"/>
      <c r="R83" s="128" t="e">
        <f t="shared" ref="R83:R84" si="80">N83/(N83+Q83)</f>
        <v>#DIV/0!</v>
      </c>
      <c r="S83" s="128" t="e">
        <f t="shared" ref="S83:S84" si="81">O83/(O83+P83)</f>
        <v>#DIV/0!</v>
      </c>
      <c r="T83" s="128" t="e">
        <f t="shared" ref="T83:U84" si="82">N83/(N83+P83)</f>
        <v>#DIV/0!</v>
      </c>
      <c r="U83" s="128" t="e">
        <f t="shared" si="82"/>
        <v>#DIV/0!</v>
      </c>
      <c r="V83" s="128" t="e">
        <f t="shared" ref="V83:V84" si="83">(N83+O83)/(N83+O83+P83+Q83)</f>
        <v>#DIV/0!</v>
      </c>
      <c r="Z83" s="158" t="s">
        <v>466</v>
      </c>
      <c r="AA83" s="46">
        <v>1</v>
      </c>
      <c r="AB83" s="46">
        <v>1</v>
      </c>
      <c r="AC83" s="157">
        <f t="shared" ref="AC83:AC84" si="84">SUM(AA83:AB83)</f>
        <v>2</v>
      </c>
      <c r="AG83" s="194" t="s">
        <v>466</v>
      </c>
      <c r="AH83" s="64">
        <v>1</v>
      </c>
      <c r="AI83" s="64">
        <v>0</v>
      </c>
      <c r="AJ83" s="193">
        <f t="shared" ref="AJ83:AJ84" si="85">SUM(AH83:AI83)</f>
        <v>1</v>
      </c>
    </row>
    <row r="84" spans="4:36" ht="16.2" thickBot="1" x14ac:dyDescent="0.35">
      <c r="D84" s="41"/>
      <c r="E84" s="4"/>
      <c r="G84" s="41"/>
      <c r="H84" s="4"/>
      <c r="J84" s="41"/>
      <c r="M84" s="126" t="s">
        <v>280</v>
      </c>
      <c r="N84" s="127"/>
      <c r="O84" s="127"/>
      <c r="P84" s="127"/>
      <c r="Q84" s="127"/>
      <c r="R84" s="128" t="e">
        <f t="shared" si="80"/>
        <v>#DIV/0!</v>
      </c>
      <c r="S84" s="128" t="e">
        <f t="shared" si="81"/>
        <v>#DIV/0!</v>
      </c>
      <c r="T84" s="128" t="e">
        <f t="shared" si="82"/>
        <v>#DIV/0!</v>
      </c>
      <c r="U84" s="128" t="e">
        <f t="shared" si="82"/>
        <v>#DIV/0!</v>
      </c>
      <c r="V84" s="128" t="e">
        <f t="shared" si="83"/>
        <v>#DIV/0!</v>
      </c>
      <c r="Z84" s="159" t="s">
        <v>467</v>
      </c>
      <c r="AA84" s="160">
        <f>SUM(AA82:AA83)</f>
        <v>4</v>
      </c>
      <c r="AB84" s="160">
        <f t="shared" ref="AB84" si="86">SUM(AB82:AB83)</f>
        <v>3</v>
      </c>
      <c r="AC84" s="161">
        <f t="shared" si="84"/>
        <v>7</v>
      </c>
      <c r="AG84" s="195" t="s">
        <v>467</v>
      </c>
      <c r="AH84" s="196">
        <f>SUM(AH82:AH83)</f>
        <v>10</v>
      </c>
      <c r="AI84" s="196">
        <f t="shared" ref="AI84" si="87">SUM(AI82:AI83)</f>
        <v>1</v>
      </c>
      <c r="AJ84" s="197">
        <f t="shared" si="85"/>
        <v>11</v>
      </c>
    </row>
    <row r="85" spans="4:36" ht="15.6" x14ac:dyDescent="0.3">
      <c r="D85" s="41"/>
      <c r="E85" s="4"/>
      <c r="G85" s="41"/>
      <c r="H85" s="4"/>
      <c r="J85" s="41"/>
    </row>
    <row r="86" spans="4:36" ht="16.2" thickBot="1" x14ac:dyDescent="0.35">
      <c r="D86" s="41"/>
      <c r="E86" s="4"/>
      <c r="G86" s="41"/>
      <c r="H86" s="4"/>
      <c r="J86" s="41"/>
    </row>
    <row r="87" spans="4:36" ht="15.6" x14ac:dyDescent="0.3">
      <c r="D87" s="4"/>
      <c r="E87" s="4"/>
      <c r="G87" s="4"/>
      <c r="H87" s="4"/>
      <c r="J87" s="4"/>
      <c r="Z87" s="274" t="s">
        <v>527</v>
      </c>
      <c r="AA87" s="275"/>
      <c r="AB87" s="275"/>
      <c r="AC87" s="276"/>
      <c r="AG87" s="292" t="s">
        <v>533</v>
      </c>
      <c r="AH87" s="293"/>
      <c r="AI87" s="293"/>
      <c r="AJ87" s="294"/>
    </row>
    <row r="88" spans="4:36" ht="15.6" x14ac:dyDescent="0.3">
      <c r="D88" s="41"/>
      <c r="E88" s="4"/>
      <c r="G88" s="41"/>
      <c r="H88" s="4"/>
      <c r="J88" s="41"/>
      <c r="Z88" s="135"/>
      <c r="AA88" s="49" t="s">
        <v>468</v>
      </c>
      <c r="AB88" s="49" t="s">
        <v>469</v>
      </c>
      <c r="AC88" s="163" t="s">
        <v>467</v>
      </c>
      <c r="AG88" s="135"/>
      <c r="AH88" s="66" t="s">
        <v>468</v>
      </c>
      <c r="AI88" s="66" t="s">
        <v>469</v>
      </c>
      <c r="AJ88" s="198" t="s">
        <v>467</v>
      </c>
    </row>
    <row r="89" spans="4:36" ht="15.6" x14ac:dyDescent="0.3">
      <c r="D89" s="41"/>
      <c r="E89" s="4"/>
      <c r="G89" s="41"/>
      <c r="H89" s="4"/>
      <c r="J89" s="41"/>
      <c r="Z89" s="164" t="s">
        <v>465</v>
      </c>
      <c r="AA89" s="49">
        <v>0</v>
      </c>
      <c r="AB89" s="49">
        <v>1</v>
      </c>
      <c r="AC89" s="163">
        <f>SUM(AA89:AB89)</f>
        <v>1</v>
      </c>
      <c r="AG89" s="199" t="s">
        <v>465</v>
      </c>
      <c r="AH89" s="66">
        <v>3</v>
      </c>
      <c r="AI89" s="66">
        <v>0</v>
      </c>
      <c r="AJ89" s="198">
        <f>SUM(AH89:AI89)</f>
        <v>3</v>
      </c>
    </row>
    <row r="90" spans="4:36" ht="15.6" x14ac:dyDescent="0.3">
      <c r="D90" s="41"/>
      <c r="E90" s="4"/>
      <c r="G90" s="41"/>
      <c r="H90" s="4"/>
      <c r="J90" s="41"/>
      <c r="Z90" s="164" t="s">
        <v>466</v>
      </c>
      <c r="AA90" s="49">
        <v>0</v>
      </c>
      <c r="AB90" s="49">
        <v>0</v>
      </c>
      <c r="AC90" s="163">
        <f t="shared" ref="AC90:AC91" si="88">SUM(AA90:AB90)</f>
        <v>0</v>
      </c>
      <c r="AG90" s="199" t="s">
        <v>466</v>
      </c>
      <c r="AH90" s="66">
        <v>0</v>
      </c>
      <c r="AI90" s="66">
        <v>0</v>
      </c>
      <c r="AJ90" s="198">
        <f t="shared" ref="AJ90:AJ91" si="89">SUM(AH90:AI90)</f>
        <v>0</v>
      </c>
    </row>
    <row r="91" spans="4:36" ht="16.2" thickBot="1" x14ac:dyDescent="0.35">
      <c r="D91" s="41"/>
      <c r="E91" s="4"/>
      <c r="G91" s="41"/>
      <c r="H91" s="4"/>
      <c r="J91" s="41"/>
      <c r="Z91" s="165" t="s">
        <v>467</v>
      </c>
      <c r="AA91" s="166">
        <f>SUM(AA89:AA90)</f>
        <v>0</v>
      </c>
      <c r="AB91" s="166">
        <f>SUM(AB89:AB90)</f>
        <v>1</v>
      </c>
      <c r="AC91" s="167">
        <f t="shared" si="88"/>
        <v>1</v>
      </c>
      <c r="AG91" s="200" t="s">
        <v>467</v>
      </c>
      <c r="AH91" s="201">
        <f>SUM(AH89:AH90)</f>
        <v>3</v>
      </c>
      <c r="AI91" s="201">
        <f>SUM(AI89:AI90)</f>
        <v>0</v>
      </c>
      <c r="AJ91" s="202">
        <f t="shared" si="89"/>
        <v>3</v>
      </c>
    </row>
    <row r="92" spans="4:36" ht="15.6" x14ac:dyDescent="0.3">
      <c r="D92" s="4"/>
      <c r="E92" s="4"/>
      <c r="G92" s="4"/>
      <c r="H92" s="4"/>
      <c r="J92" s="4"/>
      <c r="Z92" s="168"/>
      <c r="AA92" s="168"/>
      <c r="AB92" s="168"/>
      <c r="AC92" s="168"/>
      <c r="AG92" s="203"/>
      <c r="AH92" s="203"/>
      <c r="AI92" s="203"/>
      <c r="AJ92" s="203"/>
    </row>
    <row r="93" spans="4:36" ht="16.2" thickBot="1" x14ac:dyDescent="0.35">
      <c r="D93" s="41"/>
      <c r="E93" s="4"/>
      <c r="G93" s="41"/>
      <c r="H93" s="4"/>
      <c r="J93" s="41"/>
      <c r="Z93" s="168"/>
      <c r="AA93" s="168"/>
      <c r="AB93" s="168"/>
      <c r="AC93" s="168"/>
      <c r="AG93" s="203"/>
      <c r="AH93" s="203"/>
      <c r="AI93" s="203"/>
      <c r="AJ93" s="203"/>
    </row>
    <row r="94" spans="4:36" ht="15.6" x14ac:dyDescent="0.3">
      <c r="D94" s="41"/>
      <c r="E94" s="4"/>
      <c r="G94" s="41"/>
      <c r="H94" s="4"/>
      <c r="J94" s="41"/>
      <c r="Z94" s="274" t="s">
        <v>528</v>
      </c>
      <c r="AA94" s="275"/>
      <c r="AB94" s="275"/>
      <c r="AC94" s="276"/>
      <c r="AG94" s="292" t="s">
        <v>534</v>
      </c>
      <c r="AH94" s="293"/>
      <c r="AI94" s="293"/>
      <c r="AJ94" s="294"/>
    </row>
    <row r="95" spans="4:36" ht="15.6" x14ac:dyDescent="0.3">
      <c r="D95" s="41"/>
      <c r="E95" s="4"/>
      <c r="G95" s="41"/>
      <c r="H95" s="4"/>
      <c r="J95" s="41"/>
      <c r="Z95" s="135"/>
      <c r="AA95" s="49" t="s">
        <v>468</v>
      </c>
      <c r="AB95" s="49" t="s">
        <v>469</v>
      </c>
      <c r="AC95" s="163" t="s">
        <v>467</v>
      </c>
      <c r="AG95" s="135"/>
      <c r="AH95" s="66" t="s">
        <v>468</v>
      </c>
      <c r="AI95" s="66" t="s">
        <v>469</v>
      </c>
      <c r="AJ95" s="198" t="s">
        <v>467</v>
      </c>
    </row>
    <row r="96" spans="4:36" ht="15.6" x14ac:dyDescent="0.3">
      <c r="D96" s="41"/>
      <c r="E96" s="4"/>
      <c r="G96" s="41"/>
      <c r="H96" s="4"/>
      <c r="J96" s="41"/>
      <c r="Z96" s="164" t="s">
        <v>465</v>
      </c>
      <c r="AA96" s="49">
        <v>1</v>
      </c>
      <c r="AB96" s="49">
        <v>0</v>
      </c>
      <c r="AC96" s="163">
        <f>SUM(AA96:AB96)</f>
        <v>1</v>
      </c>
      <c r="AG96" s="199" t="s">
        <v>465</v>
      </c>
      <c r="AH96" s="66">
        <v>3</v>
      </c>
      <c r="AI96" s="66">
        <v>0</v>
      </c>
      <c r="AJ96" s="198">
        <f>SUM(AH96:AI96)</f>
        <v>3</v>
      </c>
    </row>
    <row r="97" spans="26:36" ht="15.6" x14ac:dyDescent="0.3">
      <c r="Z97" s="164" t="s">
        <v>466</v>
      </c>
      <c r="AA97" s="49">
        <v>0</v>
      </c>
      <c r="AB97" s="49">
        <v>0</v>
      </c>
      <c r="AC97" s="163">
        <f t="shared" ref="AC97" si="90">SUM(AA97:AB97)</f>
        <v>0</v>
      </c>
      <c r="AG97" s="199" t="s">
        <v>466</v>
      </c>
      <c r="AH97" s="66">
        <v>0</v>
      </c>
      <c r="AI97" s="66">
        <v>0</v>
      </c>
      <c r="AJ97" s="198">
        <f t="shared" ref="AJ97" si="91">SUM(AH97:AI97)</f>
        <v>0</v>
      </c>
    </row>
    <row r="98" spans="26:36" ht="16.2" thickBot="1" x14ac:dyDescent="0.35">
      <c r="Z98" s="165" t="s">
        <v>467</v>
      </c>
      <c r="AA98" s="166">
        <f>SUM(AA96:AA97)</f>
        <v>1</v>
      </c>
      <c r="AB98" s="166">
        <f t="shared" ref="AB98:AC98" si="92">SUM(AB96:AB97)</f>
        <v>0</v>
      </c>
      <c r="AC98" s="167">
        <f t="shared" si="92"/>
        <v>1</v>
      </c>
      <c r="AG98" s="200" t="s">
        <v>467</v>
      </c>
      <c r="AH98" s="201">
        <f>SUM(AH96:AH97)</f>
        <v>3</v>
      </c>
      <c r="AI98" s="201">
        <f t="shared" ref="AI98:AJ98" si="93">SUM(AI96:AI97)</f>
        <v>0</v>
      </c>
      <c r="AJ98" s="202">
        <f t="shared" si="93"/>
        <v>3</v>
      </c>
    </row>
    <row r="99" spans="26:36" x14ac:dyDescent="0.3">
      <c r="Z99" s="168"/>
      <c r="AA99" s="168"/>
      <c r="AB99" s="168"/>
      <c r="AC99" s="168"/>
      <c r="AG99" s="203"/>
      <c r="AH99" s="203"/>
      <c r="AI99" s="203"/>
      <c r="AJ99" s="203"/>
    </row>
    <row r="100" spans="26:36" ht="15" thickBot="1" x14ac:dyDescent="0.35">
      <c r="Z100" s="168"/>
      <c r="AA100" s="168"/>
      <c r="AB100" s="168"/>
      <c r="AC100" s="168"/>
      <c r="AG100" s="203"/>
      <c r="AH100" s="203"/>
      <c r="AI100" s="203"/>
      <c r="AJ100" s="203"/>
    </row>
    <row r="101" spans="26:36" ht="15.6" x14ac:dyDescent="0.3">
      <c r="Z101" s="274" t="s">
        <v>529</v>
      </c>
      <c r="AA101" s="275"/>
      <c r="AB101" s="275"/>
      <c r="AC101" s="276"/>
      <c r="AG101" s="292" t="s">
        <v>535</v>
      </c>
      <c r="AH101" s="293"/>
      <c r="AI101" s="293"/>
      <c r="AJ101" s="294"/>
    </row>
    <row r="102" spans="26:36" ht="15.6" x14ac:dyDescent="0.3">
      <c r="Z102" s="135"/>
      <c r="AA102" s="49" t="s">
        <v>468</v>
      </c>
      <c r="AB102" s="49" t="s">
        <v>469</v>
      </c>
      <c r="AC102" s="163" t="s">
        <v>467</v>
      </c>
      <c r="AG102" s="135"/>
      <c r="AH102" s="66" t="s">
        <v>468</v>
      </c>
      <c r="AI102" s="66" t="s">
        <v>469</v>
      </c>
      <c r="AJ102" s="198" t="s">
        <v>467</v>
      </c>
    </row>
    <row r="103" spans="26:36" ht="15.6" x14ac:dyDescent="0.3">
      <c r="Z103" s="164" t="s">
        <v>465</v>
      </c>
      <c r="AA103" s="49">
        <v>1</v>
      </c>
      <c r="AB103" s="49">
        <v>0</v>
      </c>
      <c r="AC103" s="163">
        <f>SUM(AA103:AB103)</f>
        <v>1</v>
      </c>
      <c r="AG103" s="199" t="s">
        <v>465</v>
      </c>
      <c r="AH103" s="66">
        <v>3</v>
      </c>
      <c r="AI103" s="66">
        <v>0</v>
      </c>
      <c r="AJ103" s="198">
        <f>SUM(AH103:AI103)</f>
        <v>3</v>
      </c>
    </row>
    <row r="104" spans="26:36" ht="15.6" x14ac:dyDescent="0.3">
      <c r="Z104" s="164" t="s">
        <v>466</v>
      </c>
      <c r="AA104" s="49">
        <v>0</v>
      </c>
      <c r="AB104" s="49">
        <v>0</v>
      </c>
      <c r="AC104" s="163">
        <f t="shared" ref="AC104:AC105" si="94">SUM(AA104:AB104)</f>
        <v>0</v>
      </c>
      <c r="AG104" s="199" t="s">
        <v>466</v>
      </c>
      <c r="AH104" s="66">
        <v>0</v>
      </c>
      <c r="AI104" s="66">
        <v>0</v>
      </c>
      <c r="AJ104" s="198">
        <f t="shared" ref="AJ104:AJ105" si="95">SUM(AH104:AI104)</f>
        <v>0</v>
      </c>
    </row>
    <row r="105" spans="26:36" ht="16.2" thickBot="1" x14ac:dyDescent="0.35">
      <c r="Z105" s="165" t="s">
        <v>467</v>
      </c>
      <c r="AA105" s="166">
        <f>SUM(AA103:AA104)</f>
        <v>1</v>
      </c>
      <c r="AB105" s="166">
        <f t="shared" ref="AB105" si="96">SUM(AB103:AB104)</f>
        <v>0</v>
      </c>
      <c r="AC105" s="167">
        <f t="shared" si="94"/>
        <v>1</v>
      </c>
      <c r="AG105" s="200" t="s">
        <v>467</v>
      </c>
      <c r="AH105" s="201">
        <f>SUM(AH103:AH104)</f>
        <v>3</v>
      </c>
      <c r="AI105" s="201">
        <f t="shared" ref="AI105" si="97">SUM(AI103:AI104)</f>
        <v>0</v>
      </c>
      <c r="AJ105" s="202">
        <f t="shared" si="95"/>
        <v>3</v>
      </c>
    </row>
    <row r="107" spans="26:36" ht="15" thickBot="1" x14ac:dyDescent="0.35"/>
    <row r="108" spans="26:36" ht="15.6" x14ac:dyDescent="0.3">
      <c r="Z108" s="277" t="s">
        <v>513</v>
      </c>
      <c r="AA108" s="278"/>
      <c r="AB108" s="278"/>
      <c r="AC108" s="279"/>
      <c r="AG108" s="295" t="s">
        <v>522</v>
      </c>
      <c r="AH108" s="296"/>
      <c r="AI108" s="296"/>
      <c r="AJ108" s="297"/>
    </row>
    <row r="109" spans="26:36" ht="15.6" x14ac:dyDescent="0.3">
      <c r="Z109" s="135"/>
      <c r="AA109" s="52" t="s">
        <v>468</v>
      </c>
      <c r="AB109" s="52" t="s">
        <v>469</v>
      </c>
      <c r="AC109" s="169" t="s">
        <v>467</v>
      </c>
      <c r="AG109" s="135"/>
      <c r="AH109" s="69" t="s">
        <v>468</v>
      </c>
      <c r="AI109" s="69" t="s">
        <v>469</v>
      </c>
      <c r="AJ109" s="204" t="s">
        <v>467</v>
      </c>
    </row>
    <row r="110" spans="26:36" ht="15.6" x14ac:dyDescent="0.3">
      <c r="Z110" s="170" t="s">
        <v>465</v>
      </c>
      <c r="AA110" s="52">
        <v>3</v>
      </c>
      <c r="AB110" s="52">
        <v>1</v>
      </c>
      <c r="AC110" s="169">
        <f>SUM(AA110:AB110)</f>
        <v>4</v>
      </c>
      <c r="AG110" s="205" t="s">
        <v>465</v>
      </c>
      <c r="AH110" s="69">
        <v>0</v>
      </c>
      <c r="AI110" s="69">
        <v>0</v>
      </c>
      <c r="AJ110" s="204">
        <f>SUM(AH110:AI110)</f>
        <v>0</v>
      </c>
    </row>
    <row r="111" spans="26:36" ht="15.6" x14ac:dyDescent="0.3">
      <c r="Z111" s="170" t="s">
        <v>466</v>
      </c>
      <c r="AA111" s="52">
        <v>0</v>
      </c>
      <c r="AB111" s="52">
        <v>0</v>
      </c>
      <c r="AC111" s="169">
        <f t="shared" ref="AC111:AC112" si="98">SUM(AA111:AB111)</f>
        <v>0</v>
      </c>
      <c r="AG111" s="205" t="s">
        <v>466</v>
      </c>
      <c r="AH111" s="69">
        <v>0</v>
      </c>
      <c r="AI111" s="69">
        <v>2</v>
      </c>
      <c r="AJ111" s="204">
        <f t="shared" ref="AJ111:AJ112" si="99">SUM(AH111:AI111)</f>
        <v>2</v>
      </c>
    </row>
    <row r="112" spans="26:36" ht="16.2" thickBot="1" x14ac:dyDescent="0.35">
      <c r="Z112" s="171" t="s">
        <v>467</v>
      </c>
      <c r="AA112" s="172">
        <f>SUM(AA110:AA111)</f>
        <v>3</v>
      </c>
      <c r="AB112" s="172">
        <f>SUM(AB110:AB111)</f>
        <v>1</v>
      </c>
      <c r="AC112" s="173">
        <f t="shared" si="98"/>
        <v>4</v>
      </c>
      <c r="AG112" s="206" t="s">
        <v>467</v>
      </c>
      <c r="AH112" s="207">
        <f>SUM(AH110:AH111)</f>
        <v>0</v>
      </c>
      <c r="AI112" s="207">
        <f>SUM(AI110:AI111)</f>
        <v>2</v>
      </c>
      <c r="AJ112" s="208">
        <f t="shared" si="99"/>
        <v>2</v>
      </c>
    </row>
    <row r="113" spans="26:36" x14ac:dyDescent="0.3">
      <c r="Z113" s="174"/>
      <c r="AA113" s="174"/>
      <c r="AB113" s="174"/>
      <c r="AC113" s="174"/>
      <c r="AG113" s="209"/>
      <c r="AH113" s="209"/>
      <c r="AI113" s="209"/>
      <c r="AJ113" s="209"/>
    </row>
    <row r="114" spans="26:36" ht="15" thickBot="1" x14ac:dyDescent="0.35">
      <c r="Z114" s="174"/>
      <c r="AA114" s="174"/>
      <c r="AB114" s="174"/>
      <c r="AC114" s="174"/>
      <c r="AG114" s="209"/>
      <c r="AH114" s="209"/>
      <c r="AI114" s="209"/>
      <c r="AJ114" s="209"/>
    </row>
    <row r="115" spans="26:36" ht="15.6" x14ac:dyDescent="0.3">
      <c r="Z115" s="277" t="s">
        <v>514</v>
      </c>
      <c r="AA115" s="278"/>
      <c r="AB115" s="278"/>
      <c r="AC115" s="279"/>
      <c r="AG115" s="295" t="s">
        <v>523</v>
      </c>
      <c r="AH115" s="296"/>
      <c r="AI115" s="296"/>
      <c r="AJ115" s="297"/>
    </row>
    <row r="116" spans="26:36" ht="15.6" x14ac:dyDescent="0.3">
      <c r="Z116" s="135"/>
      <c r="AA116" s="52" t="s">
        <v>468</v>
      </c>
      <c r="AB116" s="52" t="s">
        <v>469</v>
      </c>
      <c r="AC116" s="169" t="s">
        <v>467</v>
      </c>
      <c r="AG116" s="135"/>
      <c r="AH116" s="69" t="s">
        <v>468</v>
      </c>
      <c r="AI116" s="69" t="s">
        <v>469</v>
      </c>
      <c r="AJ116" s="204" t="s">
        <v>467</v>
      </c>
    </row>
    <row r="117" spans="26:36" ht="15.6" x14ac:dyDescent="0.3">
      <c r="Z117" s="170" t="s">
        <v>465</v>
      </c>
      <c r="AA117" s="52">
        <v>4</v>
      </c>
      <c r="AB117" s="52">
        <v>0</v>
      </c>
      <c r="AC117" s="169">
        <f>SUM(AA117:AB117)</f>
        <v>4</v>
      </c>
      <c r="AG117" s="205" t="s">
        <v>465</v>
      </c>
      <c r="AH117" s="69">
        <v>0</v>
      </c>
      <c r="AI117" s="69">
        <v>0</v>
      </c>
      <c r="AJ117" s="204">
        <f>SUM(AH117:AI117)</f>
        <v>0</v>
      </c>
    </row>
    <row r="118" spans="26:36" ht="15.6" x14ac:dyDescent="0.3">
      <c r="Z118" s="170" t="s">
        <v>466</v>
      </c>
      <c r="AA118" s="52">
        <v>0</v>
      </c>
      <c r="AB118" s="52">
        <v>0</v>
      </c>
      <c r="AC118" s="169">
        <f t="shared" ref="AC118" si="100">SUM(AA118:AB118)</f>
        <v>0</v>
      </c>
      <c r="AG118" s="205" t="s">
        <v>466</v>
      </c>
      <c r="AH118" s="69">
        <v>2</v>
      </c>
      <c r="AI118" s="69">
        <v>0</v>
      </c>
      <c r="AJ118" s="204">
        <f t="shared" ref="AJ118" si="101">SUM(AH118:AI118)</f>
        <v>2</v>
      </c>
    </row>
    <row r="119" spans="26:36" ht="16.2" thickBot="1" x14ac:dyDescent="0.35">
      <c r="Z119" s="171" t="s">
        <v>467</v>
      </c>
      <c r="AA119" s="172">
        <f>SUM(AA117:AA118)</f>
        <v>4</v>
      </c>
      <c r="AB119" s="172">
        <f t="shared" ref="AB119:AC119" si="102">SUM(AB117:AB118)</f>
        <v>0</v>
      </c>
      <c r="AC119" s="173">
        <f t="shared" si="102"/>
        <v>4</v>
      </c>
      <c r="AG119" s="206" t="s">
        <v>467</v>
      </c>
      <c r="AH119" s="207">
        <f>SUM(AH117:AH118)</f>
        <v>2</v>
      </c>
      <c r="AI119" s="207">
        <f t="shared" ref="AI119:AJ119" si="103">SUM(AI117:AI118)</f>
        <v>0</v>
      </c>
      <c r="AJ119" s="208">
        <f t="shared" si="103"/>
        <v>2</v>
      </c>
    </row>
    <row r="120" spans="26:36" x14ac:dyDescent="0.3">
      <c r="Z120" s="174"/>
      <c r="AA120" s="174"/>
      <c r="AB120" s="174"/>
      <c r="AC120" s="174"/>
      <c r="AG120" s="209"/>
      <c r="AH120" s="209"/>
      <c r="AI120" s="209"/>
      <c r="AJ120" s="209"/>
    </row>
    <row r="121" spans="26:36" ht="15" thickBot="1" x14ac:dyDescent="0.35">
      <c r="Z121" s="174"/>
      <c r="AA121" s="174"/>
      <c r="AB121" s="174"/>
      <c r="AC121" s="174"/>
      <c r="AG121" s="209"/>
      <c r="AH121" s="209"/>
      <c r="AI121" s="209"/>
      <c r="AJ121" s="209"/>
    </row>
    <row r="122" spans="26:36" ht="15.6" x14ac:dyDescent="0.3">
      <c r="Z122" s="277" t="s">
        <v>515</v>
      </c>
      <c r="AA122" s="278"/>
      <c r="AB122" s="278"/>
      <c r="AC122" s="279"/>
      <c r="AG122" s="295" t="s">
        <v>526</v>
      </c>
      <c r="AH122" s="296"/>
      <c r="AI122" s="296"/>
      <c r="AJ122" s="297"/>
    </row>
    <row r="123" spans="26:36" ht="15.6" x14ac:dyDescent="0.3">
      <c r="Z123" s="135"/>
      <c r="AA123" s="52" t="s">
        <v>468</v>
      </c>
      <c r="AB123" s="52" t="s">
        <v>469</v>
      </c>
      <c r="AC123" s="169" t="s">
        <v>467</v>
      </c>
      <c r="AG123" s="135"/>
      <c r="AH123" s="69" t="s">
        <v>468</v>
      </c>
      <c r="AI123" s="69" t="s">
        <v>469</v>
      </c>
      <c r="AJ123" s="204" t="s">
        <v>467</v>
      </c>
    </row>
    <row r="124" spans="26:36" ht="15.6" x14ac:dyDescent="0.3">
      <c r="Z124" s="170" t="s">
        <v>465</v>
      </c>
      <c r="AA124" s="52">
        <v>4</v>
      </c>
      <c r="AB124" s="52">
        <v>0</v>
      </c>
      <c r="AC124" s="169">
        <f>SUM(AA124:AB124)</f>
        <v>4</v>
      </c>
      <c r="AG124" s="205" t="s">
        <v>465</v>
      </c>
      <c r="AH124" s="69">
        <v>0</v>
      </c>
      <c r="AI124" s="69">
        <v>0</v>
      </c>
      <c r="AJ124" s="204">
        <f>SUM(AH124:AI124)</f>
        <v>0</v>
      </c>
    </row>
    <row r="125" spans="26:36" ht="15.6" x14ac:dyDescent="0.3">
      <c r="Z125" s="170" t="s">
        <v>466</v>
      </c>
      <c r="AA125" s="52">
        <v>0</v>
      </c>
      <c r="AB125" s="52">
        <v>0</v>
      </c>
      <c r="AC125" s="169">
        <f t="shared" ref="AC125:AC126" si="104">SUM(AA125:AB125)</f>
        <v>0</v>
      </c>
      <c r="AG125" s="205" t="s">
        <v>466</v>
      </c>
      <c r="AH125" s="69">
        <v>2</v>
      </c>
      <c r="AI125" s="69">
        <v>0</v>
      </c>
      <c r="AJ125" s="204">
        <f t="shared" ref="AJ125:AJ126" si="105">SUM(AH125:AI125)</f>
        <v>2</v>
      </c>
    </row>
    <row r="126" spans="26:36" ht="16.2" thickBot="1" x14ac:dyDescent="0.35">
      <c r="Z126" s="171" t="s">
        <v>467</v>
      </c>
      <c r="AA126" s="172">
        <f>SUM(AA124:AA125)</f>
        <v>4</v>
      </c>
      <c r="AB126" s="172">
        <f t="shared" ref="AB126" si="106">SUM(AB124:AB125)</f>
        <v>0</v>
      </c>
      <c r="AC126" s="173">
        <f t="shared" si="104"/>
        <v>4</v>
      </c>
      <c r="AG126" s="206" t="s">
        <v>467</v>
      </c>
      <c r="AH126" s="207">
        <f>SUM(AH124:AH125)</f>
        <v>2</v>
      </c>
      <c r="AI126" s="207">
        <f t="shared" ref="AI126" si="107">SUM(AI124:AI125)</f>
        <v>0</v>
      </c>
      <c r="AJ126" s="208">
        <f t="shared" si="105"/>
        <v>2</v>
      </c>
    </row>
  </sheetData>
  <mergeCells count="48">
    <mergeCell ref="Z108:AC108"/>
    <mergeCell ref="AG108:AJ108"/>
    <mergeCell ref="Z115:AC115"/>
    <mergeCell ref="AG115:AJ115"/>
    <mergeCell ref="Z122:AC122"/>
    <mergeCell ref="AG122:AJ122"/>
    <mergeCell ref="Z87:AC87"/>
    <mergeCell ref="AG87:AJ87"/>
    <mergeCell ref="Z94:AC94"/>
    <mergeCell ref="AG94:AJ94"/>
    <mergeCell ref="Z101:AC101"/>
    <mergeCell ref="AG101:AJ101"/>
    <mergeCell ref="Z66:AC66"/>
    <mergeCell ref="AG66:AJ66"/>
    <mergeCell ref="Z73:AC73"/>
    <mergeCell ref="AG73:AJ73"/>
    <mergeCell ref="Z80:AC80"/>
    <mergeCell ref="AG80:AJ80"/>
    <mergeCell ref="Z45:AC45"/>
    <mergeCell ref="AG45:AJ45"/>
    <mergeCell ref="Z52:AC52"/>
    <mergeCell ref="AG52:AJ52"/>
    <mergeCell ref="Z59:AC59"/>
    <mergeCell ref="AG59:AJ59"/>
    <mergeCell ref="Z24:AC24"/>
    <mergeCell ref="AG24:AJ24"/>
    <mergeCell ref="Z31:AC31"/>
    <mergeCell ref="AG31:AJ31"/>
    <mergeCell ref="Z38:AC38"/>
    <mergeCell ref="AG38:AJ38"/>
    <mergeCell ref="Z3:AC3"/>
    <mergeCell ref="Z10:AC10"/>
    <mergeCell ref="Z17:AC17"/>
    <mergeCell ref="AG3:AJ3"/>
    <mergeCell ref="AG10:AJ10"/>
    <mergeCell ref="AG17:AJ17"/>
    <mergeCell ref="M80:V80"/>
    <mergeCell ref="M3:V3"/>
    <mergeCell ref="M10:V10"/>
    <mergeCell ref="M17:V17"/>
    <mergeCell ref="M24:V24"/>
    <mergeCell ref="M31:V31"/>
    <mergeCell ref="M38:V38"/>
    <mergeCell ref="M45:V45"/>
    <mergeCell ref="M52:V52"/>
    <mergeCell ref="M59:V59"/>
    <mergeCell ref="M66:V66"/>
    <mergeCell ref="M73:V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(Digoksin)Coding Interaksi Obat</vt:lpstr>
      <vt:lpstr>Digoksin(ChatGPT-4o Mini)</vt:lpstr>
      <vt:lpstr>Digoksin(Copilot)</vt:lpstr>
      <vt:lpstr>Digoksin(Gemini Batal)</vt:lpstr>
      <vt:lpstr>Digoksin(Gemini)</vt:lpstr>
      <vt:lpstr>(Warfarin)Coding Interaksi Obat</vt:lpstr>
      <vt:lpstr>Warfarin(ChatGPT-4o Mini)</vt:lpstr>
      <vt:lpstr>Warfarin(Copilot)</vt:lpstr>
      <vt:lpstr>Warfarin(Gemini Batal)</vt:lpstr>
      <vt:lpstr>Warfarin(Gemini)</vt:lpstr>
      <vt:lpstr>Hasil Analisis Data 1</vt:lpstr>
      <vt:lpstr>Hasil Analisis Data 2</vt:lpstr>
      <vt:lpstr>Hasil Analisis Data 3</vt:lpstr>
      <vt:lpstr>Hasil Analisis Digoksin</vt:lpstr>
      <vt:lpstr>Hasil Analisis Warfarin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</dc:creator>
  <cp:lastModifiedBy>Cahya Permana Apriansah</cp:lastModifiedBy>
  <dcterms:created xsi:type="dcterms:W3CDTF">2015-06-05T18:17:20Z</dcterms:created>
  <dcterms:modified xsi:type="dcterms:W3CDTF">2025-01-14T07:19:04Z</dcterms:modified>
</cp:coreProperties>
</file>